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unnel" sheetId="2" state="visible" r:id="rId4"/>
    <sheet name="Lever data" sheetId="3" state="visible" r:id="rId5"/>
    <sheet name="Impact Model" sheetId="4" state="visible" r:id="rId6"/>
    <sheet name="Segm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<sst xmlns="http://schemas.openxmlformats.org/spreadsheetml/2006/main" count="208" uniqueCount="168">
  <si>
    <t xml:space="preserve">Investor onboarding drop-off: impact model</t>
  </si>
  <si>
    <t xml:space="preserve">Synthetic dataset - illustrative case study, not data from any real company</t>
  </si>
  <si>
    <t xml:space="preserve">Purpose</t>
  </si>
  <si>
    <t xml:space="preserve">Size the improvement opportunities found in the onboarding funnel and rank them for the roadmap.</t>
  </si>
  <si>
    <t xml:space="preserve">Sheets</t>
  </si>
  <si>
    <t xml:space="preserve">Funnel (stage conversion) | Lever data (segment vs benchmark) | Impact Model (formulas + scenarios) | Segments (reference)</t>
  </si>
  <si>
    <t xml:space="preserve">Colour legend</t>
  </si>
  <si>
    <t xml:space="preserve">Blue text = input taken from the analysis data | Black = formula | Green = link to another sheet | Yellow fill = assumption you can change</t>
  </si>
  <si>
    <t xml:space="preserve">How to use</t>
  </si>
  <si>
    <t xml:space="preserve">Change the yellow cells on 'Impact Model' (revenue per account, overlap haircut, share of gap closed, confidence, effort). Everything recalculates.</t>
  </si>
  <si>
    <t xml:space="preserve">Method</t>
  </si>
  <si>
    <t xml:space="preserve">Excess users lost = segment users x (benchmark conversion - segment conversion). Recovered users then still have to pass the remaining stages, so they are multiplied by the downstream conversion to first funding.</t>
  </si>
  <si>
    <t xml:space="preserve">Source of data</t>
  </si>
  <si>
    <t xml:space="preserve">data/processed/*.csv generated by src/analysis.py from the synthetic dataset (src/generate_dataset.py).</t>
  </si>
  <si>
    <t xml:space="preserve">Assumptions to validate</t>
  </si>
  <si>
    <t xml:space="preserve">Revenue per funded account, effort (person-weeks) and confidence are placeholders. Replace with finance and engineering estimates; validate recovery through A/B tests (docs/06_ab_test_plan.md).</t>
  </si>
  <si>
    <t xml:space="preserve">Known limits</t>
  </si>
  <si>
    <t xml:space="preserve">Levers overlap (a user can be low-end Android AND on a slow bank), so the total is reduced by an overlap haircut. L1a uses the overall downstream conversion; offline-KYC users convert worse at e-Sign, so it is slightly optimistic unless L1b is also delivered.</t>
  </si>
  <si>
    <t xml:space="preserve">Onboarding funnel</t>
  </si>
  <si>
    <t xml:space="preserve">Blue = data from analysis. Black = formulas. Stage 8 completed = activated account.</t>
  </si>
  <si>
    <t xml:space="preserve">Stage #</t>
  </si>
  <si>
    <t xml:space="preserve">Stage</t>
  </si>
  <si>
    <t xml:space="preserve">Entered</t>
  </si>
  <si>
    <t xml:space="preserve">Completed</t>
  </si>
  <si>
    <t xml:space="preserve">Dropped</t>
  </si>
  <si>
    <t xml:space="preserve">Step conversion</t>
  </si>
  <si>
    <t xml:space="preserve">Cumulative (% of sign-ups)</t>
  </si>
  <si>
    <t xml:space="preserve">Lost (% of sign-ups)</t>
  </si>
  <si>
    <t xml:space="preserve">Registration &amp; OTP verification</t>
  </si>
  <si>
    <t xml:space="preserve">PAN &amp; Aadhaar KYC</t>
  </si>
  <si>
    <t xml:space="preserve">Bank account verification</t>
  </si>
  <si>
    <t xml:space="preserve">Personal details &amp; nominee</t>
  </si>
  <si>
    <t xml:space="preserve">Segment selection &amp; income proof</t>
  </si>
  <si>
    <t xml:space="preserve">Selfie / IPV verification</t>
  </si>
  <si>
    <t xml:space="preserve">e-Sign</t>
  </si>
  <si>
    <t xml:space="preserve">Account approval</t>
  </si>
  <si>
    <t xml:space="preserve">First funding</t>
  </si>
  <si>
    <t xml:space="preserve">First trade</t>
  </si>
  <si>
    <t xml:space="preserve">Key metrics</t>
  </si>
  <si>
    <t xml:space="preserve">Total sign-ups</t>
  </si>
  <si>
    <t xml:space="preserve">Activation rate (account approved)</t>
  </si>
  <si>
    <t xml:space="preserve">Funded rate (first deposit)</t>
  </si>
  <si>
    <t xml:space="preserve">First-trade rate</t>
  </si>
  <si>
    <t xml:space="preserve">Biggest leak (stage with most users lost)</t>
  </si>
  <si>
    <t xml:space="preserve">Improvement levers: segment vs like-for-like benchmark</t>
  </si>
  <si>
    <t xml:space="preserve">Counts are inputs from the analysis (blue). Conversion, gap and excess users lost are formulas.</t>
  </si>
  <si>
    <t xml:space="preserve">Lever</t>
  </si>
  <si>
    <t xml:space="preserve">Opportunity</t>
  </si>
  <si>
    <t xml:space="preserve">Segment</t>
  </si>
  <si>
    <t xml:space="preserve">Segment entered</t>
  </si>
  <si>
    <t xml:space="preserve">Segment completed</t>
  </si>
  <si>
    <t xml:space="preserve">Benchmark entered</t>
  </si>
  <si>
    <t xml:space="preserve">Benchmark completed</t>
  </si>
  <si>
    <t xml:space="preserve">Segment conv.</t>
  </si>
  <si>
    <t xml:space="preserve">Benchmark conv.</t>
  </si>
  <si>
    <t xml:space="preserve">Gap (pp)</t>
  </si>
  <si>
    <t xml:space="preserve">Users lost in segment</t>
  </si>
  <si>
    <t xml:space="preserve">Excess users lost vs benchmark</t>
  </si>
  <si>
    <t xml:space="preserve">L1a</t>
  </si>
  <si>
    <t xml:space="preserve">Alternative KYC path for users whose Aadhaar is not linked to their mobile (KYC stage)</t>
  </si>
  <si>
    <t xml:space="preserve">Aadhaar not linked to mobile</t>
  </si>
  <si>
    <t xml:space="preserve">L1b</t>
  </si>
  <si>
    <t xml:space="preserve">Offline-KYC users blocked at e-Sign (signature step)</t>
  </si>
  <si>
    <t xml:space="preserve">L2</t>
  </si>
  <si>
    <t xml:space="preserve">Bank-verification fallback (UPI / cancelled-cheque upload) for problem banks</t>
  </si>
  <si>
    <t xml:space="preserve">PNB, Bank of Baroda, Co-operative / other</t>
  </si>
  <si>
    <t xml:space="preserve">L3</t>
  </si>
  <si>
    <t xml:space="preserve">Save-and-resume with reminders for late-night KYC starters</t>
  </si>
  <si>
    <t xml:space="preserve">Signed up 22:00-05:59 (DigiLocker-eligible)</t>
  </si>
  <si>
    <t xml:space="preserve">L4</t>
  </si>
  <si>
    <t xml:space="preserve">Assisted selfie / IPV capture for low-end Android, web and 55+ users</t>
  </si>
  <si>
    <t xml:space="preserve">Low-end Android, web or age 55+</t>
  </si>
  <si>
    <t xml:space="preserve">L5</t>
  </si>
  <si>
    <t xml:space="preserve">First-funding nudges (one-tap UPI, starter offer) for paid-social/influencer users</t>
  </si>
  <si>
    <t xml:space="preserve">Influencer / YouTube and Meta / social ads</t>
  </si>
  <si>
    <t xml:space="preserve">L6</t>
  </si>
  <si>
    <t xml:space="preserve">Simplified income-proof upload for F&amp;O seekers</t>
  </si>
  <si>
    <t xml:space="preserve">Wants F&amp;O</t>
  </si>
  <si>
    <t xml:space="preserve">Benchmark = rest of the base at the same stage; for L3 it is DigiLocker-eligible users who did not sign up late at night (like-for-like).</t>
  </si>
  <si>
    <t xml:space="preserve">Impact model: incremental funded accounts and revenue</t>
  </si>
  <si>
    <t xml:space="preserve">Yellow cells are assumptions to validate. Levers overlap, so totals are reduced by the overlap haircut.</t>
  </si>
  <si>
    <t xml:space="preserve">Months in sign-up window (1 Apr - 31 Aug 2026)</t>
  </si>
  <si>
    <t xml:space="preserve">Annual revenue per funded account (placeholder - replace with finance figure)</t>
  </si>
  <si>
    <t xml:space="preserve">Overlap haircut (levers target overlapping users)</t>
  </si>
  <si>
    <t xml:space="preserve">Scenario</t>
  </si>
  <si>
    <t xml:space="preserve">Conservative</t>
  </si>
  <si>
    <t xml:space="preserve">Base</t>
  </si>
  <si>
    <t xml:space="preserve">Optimistic</t>
  </si>
  <si>
    <t xml:space="preserve">Share of the conversion gap closed by the fix</t>
  </si>
  <si>
    <t xml:space="preserve">Downstream conversion to first funding</t>
  </si>
  <si>
    <t xml:space="preserve">Confidence (BA estimate)</t>
  </si>
  <si>
    <t xml:space="preserve">Effort (person-weeks, BA estimate)</t>
  </si>
  <si>
    <t xml:space="preserve">Incr. funded / month: Conservative</t>
  </si>
  <si>
    <t xml:space="preserve">Incr. funded / month: Base</t>
  </si>
  <si>
    <t xml:space="preserve">Incr. funded / month: Optimistic</t>
  </si>
  <si>
    <t xml:space="preserve">Priority score (Base x confidence / effort)</t>
  </si>
  <si>
    <t xml:space="preserve">Rank</t>
  </si>
  <si>
    <t xml:space="preserve">Total (before overlap haircut)</t>
  </si>
  <si>
    <t xml:space="preserve">After overlap haircut: incremental funded accounts per month</t>
  </si>
  <si>
    <t xml:space="preserve">Current funded accounts per month (from the data)</t>
  </si>
  <si>
    <t xml:space="preserve">Uplift in monthly funded accounts</t>
  </si>
  <si>
    <t xml:space="preserve">Incremental revenue in the first year of operation (Rs)</t>
  </si>
  <si>
    <t xml:space="preserve">Notes</t>
  </si>
  <si>
    <t xml:space="preserve">1. Excess users lost comes from the data; the recovered share is an assumption (row 9) to be validated through A/B tests.</t>
  </si>
  <si>
    <t xml:space="preserve">2. Revenue per funded account, confidence and effort are placeholders. Replace them with finance and engineering estimates before using the ranking in a decision.</t>
  </si>
  <si>
    <t xml:space="preserve">3. First-year revenue assumes each month's recovered accounts earn the annual revenue per account, which ignores ramp-up and churn.</t>
  </si>
  <si>
    <t xml:space="preserve">4. Funded accounts (not just activated ones) are used because they are the accounts that generate revenue.</t>
  </si>
  <si>
    <t xml:space="preserve">Activation, funding and first-trade rate by segment</t>
  </si>
  <si>
    <t xml:space="preserve">Counts are inputs (blue). Rates and gaps are formulas. Gap = activation rate minus the overall rate, in percentage points.</t>
  </si>
  <si>
    <t xml:space="preserve">Overall activation rate</t>
  </si>
  <si>
    <t xml:space="preserve">Segment type</t>
  </si>
  <si>
    <t xml:space="preserve">Users</t>
  </si>
  <si>
    <t xml:space="preserve">Activated</t>
  </si>
  <si>
    <t xml:space="preserve">Funded</t>
  </si>
  <si>
    <t xml:space="preserve">Activation rate</t>
  </si>
  <si>
    <t xml:space="preserve">Funded rate</t>
  </si>
  <si>
    <t xml:space="preserve">Activation gap vs overall (pp)</t>
  </si>
  <si>
    <t xml:space="preserve">Share of sign-ups</t>
  </si>
  <si>
    <t xml:space="preserve">Channel</t>
  </si>
  <si>
    <t xml:space="preserve">Google Ads</t>
  </si>
  <si>
    <t xml:space="preserve">Influencer / YouTube</t>
  </si>
  <si>
    <t xml:space="preserve">Meta / social ads</t>
  </si>
  <si>
    <t xml:space="preserve">Organic</t>
  </si>
  <si>
    <t xml:space="preserve">Partner / sub-broker</t>
  </si>
  <si>
    <t xml:space="preserve">Referral</t>
  </si>
  <si>
    <t xml:space="preserve">Device OS</t>
  </si>
  <si>
    <t xml:space="preserve">Android</t>
  </si>
  <si>
    <t xml:space="preserve">Web</t>
  </si>
  <si>
    <t xml:space="preserve">iOS</t>
  </si>
  <si>
    <t xml:space="preserve">Device tier</t>
  </si>
  <si>
    <t xml:space="preserve">Desktop</t>
  </si>
  <si>
    <t xml:space="preserve">High-end</t>
  </si>
  <si>
    <t xml:space="preserve">Low-end</t>
  </si>
  <si>
    <t xml:space="preserve">Mid-range</t>
  </si>
  <si>
    <t xml:space="preserve">City tier</t>
  </si>
  <si>
    <t xml:space="preserve">Tier 1</t>
  </si>
  <si>
    <t xml:space="preserve">Tier 2</t>
  </si>
  <si>
    <t xml:space="preserve">Tier 3</t>
  </si>
  <si>
    <t xml:space="preserve">Age group</t>
  </si>
  <si>
    <t xml:space="preserve">18-24</t>
  </si>
  <si>
    <t xml:space="preserve">25-34</t>
  </si>
  <si>
    <t xml:space="preserve">35-44</t>
  </si>
  <si>
    <t xml:space="preserve">45-54</t>
  </si>
  <si>
    <t xml:space="preserve">55+</t>
  </si>
  <si>
    <t xml:space="preserve">Bank</t>
  </si>
  <si>
    <t xml:space="preserve">Axis Bank</t>
  </si>
  <si>
    <t xml:space="preserve">Bank of Baroda</t>
  </si>
  <si>
    <t xml:space="preserve">Canara Bank</t>
  </si>
  <si>
    <t xml:space="preserve">Co-operative / other</t>
  </si>
  <si>
    <t xml:space="preserve">HDFC Bank</t>
  </si>
  <si>
    <t xml:space="preserve">ICICI Bank</t>
  </si>
  <si>
    <t xml:space="preserve">Kotak Mahindra Bank</t>
  </si>
  <si>
    <t xml:space="preserve">Punjab National Bank</t>
  </si>
  <si>
    <t xml:space="preserve">SBI</t>
  </si>
  <si>
    <t xml:space="preserve">Union Bank</t>
  </si>
  <si>
    <t xml:space="preserve">KYC path</t>
  </si>
  <si>
    <t xml:space="preserve">DigiLocker (digital)</t>
  </si>
  <si>
    <t xml:space="preserve">Offline / manual</t>
  </si>
  <si>
    <t xml:space="preserve">Trading interest</t>
  </si>
  <si>
    <t xml:space="preserve">Cash / delivery only</t>
  </si>
  <si>
    <t xml:space="preserve">Signup time</t>
  </si>
  <si>
    <t xml:space="preserve">Afternoon (12-17)</t>
  </si>
  <si>
    <t xml:space="preserve">Evening (18-21)</t>
  </si>
  <si>
    <t xml:space="preserve">Late night (22-05)</t>
  </si>
  <si>
    <t xml:space="preserve">Morning (06-11)</t>
  </si>
  <si>
    <t xml:space="preserve">Campaign day</t>
  </si>
  <si>
    <t xml:space="preserve">IPO / market-rally spike</t>
  </si>
  <si>
    <t xml:space="preserve">Normal day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</si>
</sst>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0.0;\(0.0\);\-"/>
    <numFmt numFmtId="168" formatCode="0.0"/>
    <numFmt numFmtId="169" formatCode="&quot;Rs &quot;#,##0;&quot;(Rs &quot;#,##0\);\-"/>
    <numFmt numFmtId="170" formatCode="General"/>
    <numFmt numFmtId="171" formatCode="0"/>
    <numFmt numFmtId="172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4"/>
      <rgbColor rgb="FF878787"/>
      <rgbColor rgb="FF9999FF"/>
      <rgbColor rgb="FF993366"/>
      <rgbColor rgb="FFF9F9F9"/>
      <rgbColor rgb="FFEEF3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Users entering each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Funnel!C4</c:f>
              <c:strCache>
                <c:ptCount val="1"/>
                <c:pt idx="0">
                  <c:v>Entered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Funnel!$B$5:$B$14</c:f>
              <c:strCache>
                <c:ptCount val="10"/>
                <c:pt idx="0">
                  <c:v>Registration &amp; OTP verification</c:v>
                </c:pt>
                <c:pt idx="1">
                  <c:v>PAN &amp; Aadhaar KYC</c:v>
                </c:pt>
                <c:pt idx="2">
                  <c:v>Bank account verification</c:v>
                </c:pt>
                <c:pt idx="3">
                  <c:v>Personal details &amp; nominee</c:v>
                </c:pt>
                <c:pt idx="4">
                  <c:v>Segment selection &amp; income proof</c:v>
                </c:pt>
                <c:pt idx="5">
                  <c:v>Selfie / IPV verification</c:v>
                </c:pt>
                <c:pt idx="6">
                  <c:v>e-Sign</c:v>
                </c:pt>
                <c:pt idx="7">
                  <c:v>Account approval</c:v>
                </c:pt>
                <c:pt idx="8">
                  <c:v>First funding</c:v>
                </c:pt>
                <c:pt idx="9">
                  <c:v>First trade</c:v>
                </c:pt>
              </c:strCache>
            </c:strRef>
          </c:cat>
          <c:val>
            <c:numRef>
              <c:f>Funnel!$C$5:$C$14</c:f>
              <c:numCache>
                <c:formatCode>#,##0;\(#,##0\);\-</c:formatCode>
                <c:ptCount val="10"/>
                <c:pt idx="0">
                  <c:v>20000</c:v>
                </c:pt>
                <c:pt idx="1">
                  <c:v>18035</c:v>
                </c:pt>
                <c:pt idx="2">
                  <c:v>12650</c:v>
                </c:pt>
                <c:pt idx="3">
                  <c:v>10135</c:v>
                </c:pt>
                <c:pt idx="4">
                  <c:v>9308</c:v>
                </c:pt>
                <c:pt idx="5">
                  <c:v>8424</c:v>
                </c:pt>
                <c:pt idx="6">
                  <c:v>7194</c:v>
                </c:pt>
                <c:pt idx="7">
                  <c:v>6447</c:v>
                </c:pt>
                <c:pt idx="8">
                  <c:v>5964</c:v>
                </c:pt>
                <c:pt idx="9">
                  <c:v>3462</c:v>
                </c:pt>
              </c:numCache>
            </c:numRef>
          </c:val>
        </c:ser>
        <c:gapWidth val="150"/>
        <c:overlap val="0"/>
        <c:axId val="6232229"/>
        <c:axId val="43012148"/>
      </c:barChart>
      <c:catAx>
        <c:axId val="623222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12148"/>
        <c:crosses val="autoZero"/>
        <c:auto val="1"/>
        <c:lblAlgn val="ctr"/>
        <c:lblOffset val="100"/>
        <c:noMultiLvlLbl val="0"/>
      </c:catAx>
      <c:valAx>
        <c:axId val="43012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2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case: incremental funded accounts per month, by lever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'Impact Model'!I12</c:f>
              <c:strCache>
                <c:ptCount val="1"/>
                <c:pt idx="0">
                  <c:v>Incr. funded / month: Base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'Impact Model'!$A$13:$A$19</c:f>
              <c:strCache>
                <c:ptCount val="7"/>
                <c:pt idx="0">
                  <c:v>L1a</c:v>
                </c:pt>
                <c:pt idx="1">
                  <c:v>L1b</c:v>
                </c:pt>
                <c:pt idx="2">
                  <c:v>L2</c:v>
                </c:pt>
                <c:pt idx="3">
                  <c:v>L3</c:v>
                </c:pt>
                <c:pt idx="4">
                  <c:v>L4</c:v>
                </c:pt>
                <c:pt idx="5">
                  <c:v>L5</c:v>
                </c:pt>
                <c:pt idx="6">
                  <c:v>L6</c:v>
                </c:pt>
              </c:strCache>
            </c:strRef>
          </c:cat>
          <c:val>
            <c:numRef>
              <c:f>'Impact Model'!$I$13:$I$19</c:f>
              <c:numCache>
                <c:formatCode>0.0</c:formatCode>
                <c:ptCount val="7"/>
                <c:pt idx="0">
                  <c:v>25.1781818181818</c:v>
                </c:pt>
                <c:pt idx="1">
                  <c:v>3.32936249418334</c:v>
                </c:pt>
                <c:pt idx="2">
                  <c:v>25.0384410458806</c:v>
                </c:pt>
                <c:pt idx="3">
                  <c:v>4.10513833992095</c:v>
                </c:pt>
                <c:pt idx="4">
                  <c:v>11.0683903252711</c:v>
                </c:pt>
                <c:pt idx="5">
                  <c:v>15.7</c:v>
                </c:pt>
                <c:pt idx="6">
                  <c:v>11.7537037037037</c:v>
                </c:pt>
              </c:numCache>
            </c:numRef>
          </c:val>
        </c:ser>
        <c:gapWidth val="150"/>
        <c:overlap val="0"/>
        <c:axId val="61187046"/>
        <c:axId val="80123105"/>
      </c:barChart>
      <c:catAx>
        <c:axId val="611870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23105"/>
        <c:crosses val="autoZero"/>
        <c:auto val="1"/>
        <c:lblAlgn val="ctr"/>
        <c:lblOffset val="100"/>
        <c:noMultiLvlLbl val="0"/>
      </c:catAx>
      <c:valAx>
        <c:axId val="80123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87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19</xdr:col>
      <xdr:colOff>4320</xdr:colOff>
      <xdr:row>18</xdr:row>
      <xdr:rowOff>142920</xdr:rowOff>
    </xdr:to>
    <xdr:graphicFrame>
      <xdr:nvGraphicFramePr>
        <xdr:cNvPr id="0" name="Chart 1"/>
        <xdr:cNvGraphicFramePr/>
      </xdr:nvGraphicFramePr>
      <xdr:xfrm>
        <a:off x="1019736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160560</xdr:rowOff>
    </xdr:from>
    <xdr:to>
      <xdr:col>3</xdr:col>
      <xdr:colOff>684720</xdr:colOff>
      <xdr:row>47</xdr:row>
      <xdr:rowOff>172080</xdr:rowOff>
    </xdr:to>
    <xdr:graphicFrame>
      <xdr:nvGraphicFramePr>
        <xdr:cNvPr id="1" name="Chart 1"/>
        <xdr:cNvGraphicFramePr/>
      </xdr:nvGraphicFramePr>
      <xdr:xfrm>
        <a:off x="563760" y="88390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1" customFormat="false" ht="48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31.5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</row>
    <row r="5" customFormat="false" ht="15" hidden="false" customHeight="false" outlineLevel="0" collapsed="false">
      <c r="A5" s="6" t="n">
        <v>1</v>
      </c>
      <c r="B5" s="6" t="s">
        <v>28</v>
      </c>
      <c r="C5" s="7" t="n">
        <v>20000</v>
      </c>
      <c r="D5" s="7" t="n">
        <v>18035</v>
      </c>
      <c r="E5" s="8" t="n">
        <f aca="false">C5-D5</f>
        <v>1965</v>
      </c>
      <c r="F5" s="9" t="n">
        <f aca="false">IF(C5=0,0,D5/C5)</f>
        <v>0.90175</v>
      </c>
      <c r="G5" s="9" t="n">
        <f aca="false">D5/$C$5</f>
        <v>0.90175</v>
      </c>
      <c r="H5" s="9" t="n">
        <f aca="false">E5/$C$5</f>
        <v>0.09825</v>
      </c>
    </row>
    <row r="6" customFormat="false" ht="15" hidden="false" customHeight="false" outlineLevel="0" collapsed="false">
      <c r="A6" s="6" t="n">
        <v>2</v>
      </c>
      <c r="B6" s="6" t="s">
        <v>29</v>
      </c>
      <c r="C6" s="7" t="n">
        <v>18035</v>
      </c>
      <c r="D6" s="7" t="n">
        <v>12650</v>
      </c>
      <c r="E6" s="8" t="n">
        <f aca="false">C6-D6</f>
        <v>5385</v>
      </c>
      <c r="F6" s="9" t="n">
        <f aca="false">IF(C6=0,0,D6/C6)</f>
        <v>0.701413917382867</v>
      </c>
      <c r="G6" s="9" t="n">
        <f aca="false">D6/$C$5</f>
        <v>0.6325</v>
      </c>
      <c r="H6" s="9" t="n">
        <f aca="false">E6/$C$5</f>
        <v>0.26925</v>
      </c>
    </row>
    <row r="7" customFormat="false" ht="15" hidden="false" customHeight="false" outlineLevel="0" collapsed="false">
      <c r="A7" s="6" t="n">
        <v>3</v>
      </c>
      <c r="B7" s="6" t="s">
        <v>30</v>
      </c>
      <c r="C7" s="7" t="n">
        <v>12650</v>
      </c>
      <c r="D7" s="7" t="n">
        <v>10135</v>
      </c>
      <c r="E7" s="8" t="n">
        <f aca="false">C7-D7</f>
        <v>2515</v>
      </c>
      <c r="F7" s="9" t="n">
        <f aca="false">IF(C7=0,0,D7/C7)</f>
        <v>0.801185770750988</v>
      </c>
      <c r="G7" s="9" t="n">
        <f aca="false">D7/$C$5</f>
        <v>0.50675</v>
      </c>
      <c r="H7" s="9" t="n">
        <f aca="false">E7/$C$5</f>
        <v>0.12575</v>
      </c>
    </row>
    <row r="8" customFormat="false" ht="15" hidden="false" customHeight="false" outlineLevel="0" collapsed="false">
      <c r="A8" s="6" t="n">
        <v>4</v>
      </c>
      <c r="B8" s="6" t="s">
        <v>31</v>
      </c>
      <c r="C8" s="7" t="n">
        <v>10135</v>
      </c>
      <c r="D8" s="7" t="n">
        <v>9308</v>
      </c>
      <c r="E8" s="8" t="n">
        <f aca="false">C8-D8</f>
        <v>827</v>
      </c>
      <c r="F8" s="9" t="n">
        <f aca="false">IF(C8=0,0,D8/C8)</f>
        <v>0.918401578687716</v>
      </c>
      <c r="G8" s="9" t="n">
        <f aca="false">D8/$C$5</f>
        <v>0.4654</v>
      </c>
      <c r="H8" s="9" t="n">
        <f aca="false">E8/$C$5</f>
        <v>0.04135</v>
      </c>
    </row>
    <row r="9" customFormat="false" ht="15" hidden="false" customHeight="false" outlineLevel="0" collapsed="false">
      <c r="A9" s="6" t="n">
        <v>5</v>
      </c>
      <c r="B9" s="6" t="s">
        <v>32</v>
      </c>
      <c r="C9" s="7" t="n">
        <v>9308</v>
      </c>
      <c r="D9" s="7" t="n">
        <v>8424</v>
      </c>
      <c r="E9" s="8" t="n">
        <f aca="false">C9-D9</f>
        <v>884</v>
      </c>
      <c r="F9" s="9" t="n">
        <f aca="false">IF(C9=0,0,D9/C9)</f>
        <v>0.905027932960894</v>
      </c>
      <c r="G9" s="9" t="n">
        <f aca="false">D9/$C$5</f>
        <v>0.4212</v>
      </c>
      <c r="H9" s="9" t="n">
        <f aca="false">E9/$C$5</f>
        <v>0.0442</v>
      </c>
    </row>
    <row r="10" customFormat="false" ht="15" hidden="false" customHeight="false" outlineLevel="0" collapsed="false">
      <c r="A10" s="6" t="n">
        <v>6</v>
      </c>
      <c r="B10" s="6" t="s">
        <v>33</v>
      </c>
      <c r="C10" s="7" t="n">
        <v>8424</v>
      </c>
      <c r="D10" s="7" t="n">
        <v>7194</v>
      </c>
      <c r="E10" s="8" t="n">
        <f aca="false">C10-D10</f>
        <v>1230</v>
      </c>
      <c r="F10" s="9" t="n">
        <f aca="false">IF(C10=0,0,D10/C10)</f>
        <v>0.853988603988604</v>
      </c>
      <c r="G10" s="9" t="n">
        <f aca="false">D10/$C$5</f>
        <v>0.3597</v>
      </c>
      <c r="H10" s="9" t="n">
        <f aca="false">E10/$C$5</f>
        <v>0.0615</v>
      </c>
    </row>
    <row r="11" customFormat="false" ht="15" hidden="false" customHeight="false" outlineLevel="0" collapsed="false">
      <c r="A11" s="6" t="n">
        <v>7</v>
      </c>
      <c r="B11" s="6" t="s">
        <v>34</v>
      </c>
      <c r="C11" s="7" t="n">
        <v>7194</v>
      </c>
      <c r="D11" s="7" t="n">
        <v>6447</v>
      </c>
      <c r="E11" s="8" t="n">
        <f aca="false">C11-D11</f>
        <v>747</v>
      </c>
      <c r="F11" s="9" t="n">
        <f aca="false">IF(C11=0,0,D11/C11)</f>
        <v>0.896163469557965</v>
      </c>
      <c r="G11" s="9" t="n">
        <f aca="false">D11/$C$5</f>
        <v>0.32235</v>
      </c>
      <c r="H11" s="9" t="n">
        <f aca="false">E11/$C$5</f>
        <v>0.03735</v>
      </c>
    </row>
    <row r="12" customFormat="false" ht="15" hidden="false" customHeight="false" outlineLevel="0" collapsed="false">
      <c r="A12" s="6" t="n">
        <v>8</v>
      </c>
      <c r="B12" s="6" t="s">
        <v>35</v>
      </c>
      <c r="C12" s="7" t="n">
        <v>6447</v>
      </c>
      <c r="D12" s="7" t="n">
        <v>5964</v>
      </c>
      <c r="E12" s="8" t="n">
        <f aca="false">C12-D12</f>
        <v>483</v>
      </c>
      <c r="F12" s="9" t="n">
        <f aca="false">IF(C12=0,0,D12/C12)</f>
        <v>0.925081433224756</v>
      </c>
      <c r="G12" s="9" t="n">
        <f aca="false">D12/$C$5</f>
        <v>0.2982</v>
      </c>
      <c r="H12" s="9" t="n">
        <f aca="false">E12/$C$5</f>
        <v>0.02415</v>
      </c>
    </row>
    <row r="13" customFormat="false" ht="15" hidden="false" customHeight="false" outlineLevel="0" collapsed="false">
      <c r="A13" s="6" t="n">
        <v>9</v>
      </c>
      <c r="B13" s="6" t="s">
        <v>36</v>
      </c>
      <c r="C13" s="7" t="n">
        <v>5964</v>
      </c>
      <c r="D13" s="7" t="n">
        <v>3462</v>
      </c>
      <c r="E13" s="8" t="n">
        <f aca="false">C13-D13</f>
        <v>2502</v>
      </c>
      <c r="F13" s="9" t="n">
        <f aca="false">IF(C13=0,0,D13/C13)</f>
        <v>0.580482897384306</v>
      </c>
      <c r="G13" s="9" t="n">
        <f aca="false">D13/$C$5</f>
        <v>0.1731</v>
      </c>
      <c r="H13" s="9" t="n">
        <f aca="false">E13/$C$5</f>
        <v>0.1251</v>
      </c>
    </row>
    <row r="14" customFormat="false" ht="15" hidden="false" customHeight="false" outlineLevel="0" collapsed="false">
      <c r="A14" s="6" t="n">
        <v>10</v>
      </c>
      <c r="B14" s="6" t="s">
        <v>37</v>
      </c>
      <c r="C14" s="7" t="n">
        <v>3462</v>
      </c>
      <c r="D14" s="7" t="n">
        <v>2428</v>
      </c>
      <c r="E14" s="8" t="n">
        <f aca="false">C14-D14</f>
        <v>1034</v>
      </c>
      <c r="F14" s="9" t="n">
        <f aca="false">IF(C14=0,0,D14/C14)</f>
        <v>0.701328711727325</v>
      </c>
      <c r="G14" s="9" t="n">
        <f aca="false">D14/$C$5</f>
        <v>0.1214</v>
      </c>
      <c r="H14" s="9" t="n">
        <f aca="false">E14/$C$5</f>
        <v>0.0517</v>
      </c>
    </row>
    <row r="17" customFormat="false" ht="15" hidden="false" customHeight="false" outlineLevel="0" collapsed="false">
      <c r="A17" s="3" t="s">
        <v>38</v>
      </c>
      <c r="B17" s="10"/>
    </row>
    <row r="18" customFormat="false" ht="15" hidden="false" customHeight="false" outlineLevel="0" collapsed="false">
      <c r="B18" s="11" t="s">
        <v>39</v>
      </c>
      <c r="C18" s="8" t="n">
        <f aca="false">C5</f>
        <v>20000</v>
      </c>
    </row>
    <row r="19" customFormat="false" ht="15" hidden="false" customHeight="false" outlineLevel="0" collapsed="false">
      <c r="B19" s="11" t="s">
        <v>40</v>
      </c>
      <c r="C19" s="9" t="n">
        <f aca="false">G12</f>
        <v>0.2982</v>
      </c>
    </row>
    <row r="20" customFormat="false" ht="15" hidden="false" customHeight="false" outlineLevel="0" collapsed="false">
      <c r="B20" s="11" t="s">
        <v>41</v>
      </c>
      <c r="C20" s="9" t="n">
        <f aca="false">G13</f>
        <v>0.1731</v>
      </c>
    </row>
    <row r="21" customFormat="false" ht="15" hidden="false" customHeight="false" outlineLevel="0" collapsed="false">
      <c r="B21" s="11" t="s">
        <v>42</v>
      </c>
      <c r="C21" s="9" t="n">
        <f aca="false">G14</f>
        <v>0.1214</v>
      </c>
    </row>
    <row r="22" customFormat="false" ht="15" hidden="false" customHeight="false" outlineLevel="0" collapsed="false">
      <c r="B22" s="11" t="s">
        <v>43</v>
      </c>
      <c r="C22" s="11" t="str">
        <f aca="false">INDEX(B5:B14,MATCH(MAX(E5:E14),E5:E14,0))</f>
        <v>PAN &amp; Aadhaar KYC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8" min="5" style="0" width="12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31.5" hidden="false" customHeight="true" outlineLevel="0" collapsed="false">
      <c r="A4" s="5" t="s">
        <v>46</v>
      </c>
      <c r="B4" s="5" t="s">
        <v>47</v>
      </c>
      <c r="C4" s="5" t="s">
        <v>20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5" t="s">
        <v>57</v>
      </c>
    </row>
    <row r="5" customFormat="false" ht="43.5" hidden="false" customHeight="true" outlineLevel="0" collapsed="false">
      <c r="A5" s="12" t="s">
        <v>58</v>
      </c>
      <c r="B5" s="13" t="s">
        <v>59</v>
      </c>
      <c r="C5" s="6" t="n">
        <v>2</v>
      </c>
      <c r="D5" s="13" t="s">
        <v>60</v>
      </c>
      <c r="E5" s="7" t="n">
        <v>2196</v>
      </c>
      <c r="F5" s="7" t="n">
        <v>732</v>
      </c>
      <c r="G5" s="7" t="n">
        <v>15839</v>
      </c>
      <c r="H5" s="7" t="n">
        <v>11918</v>
      </c>
      <c r="I5" s="9" t="n">
        <f aca="false">F5/E5</f>
        <v>0.333333333333333</v>
      </c>
      <c r="J5" s="9" t="n">
        <f aca="false">H5/G5</f>
        <v>0.752446492834144</v>
      </c>
      <c r="K5" s="14" t="n">
        <f aca="false">(J5-I5)*100</f>
        <v>41.911315950081</v>
      </c>
      <c r="L5" s="8" t="n">
        <f aca="false">E5-F5</f>
        <v>1464</v>
      </c>
      <c r="M5" s="8" t="n">
        <f aca="false">ROUND(MAX(0,E5*(J5-I5)),0)</f>
        <v>920</v>
      </c>
    </row>
    <row r="6" customFormat="false" ht="43.5" hidden="false" customHeight="true" outlineLevel="0" collapsed="false">
      <c r="A6" s="12" t="s">
        <v>61</v>
      </c>
      <c r="B6" s="13" t="s">
        <v>62</v>
      </c>
      <c r="C6" s="6" t="n">
        <v>7</v>
      </c>
      <c r="D6" s="13" t="s">
        <v>60</v>
      </c>
      <c r="E6" s="7" t="n">
        <v>446</v>
      </c>
      <c r="F6" s="7" t="n">
        <v>342</v>
      </c>
      <c r="G6" s="7" t="n">
        <v>6748</v>
      </c>
      <c r="H6" s="7" t="n">
        <v>6105</v>
      </c>
      <c r="I6" s="9" t="n">
        <f aca="false">F6/E6</f>
        <v>0.766816143497758</v>
      </c>
      <c r="J6" s="9" t="n">
        <f aca="false">H6/G6</f>
        <v>0.904712507409603</v>
      </c>
      <c r="K6" s="14" t="n">
        <f aca="false">(J6-I6)*100</f>
        <v>13.7896363911845</v>
      </c>
      <c r="L6" s="8" t="n">
        <f aca="false">E6-F6</f>
        <v>104</v>
      </c>
      <c r="M6" s="8" t="n">
        <f aca="false">ROUND(MAX(0,E6*(J6-I6)),0)</f>
        <v>62</v>
      </c>
    </row>
    <row r="7" customFormat="false" ht="43.5" hidden="false" customHeight="true" outlineLevel="0" collapsed="false">
      <c r="A7" s="12" t="s">
        <v>63</v>
      </c>
      <c r="B7" s="13" t="s">
        <v>64</v>
      </c>
      <c r="C7" s="6" t="n">
        <v>3</v>
      </c>
      <c r="D7" s="13" t="s">
        <v>65</v>
      </c>
      <c r="E7" s="7" t="n">
        <v>3948</v>
      </c>
      <c r="F7" s="7" t="n">
        <v>2659</v>
      </c>
      <c r="G7" s="7" t="n">
        <v>8702</v>
      </c>
      <c r="H7" s="7" t="n">
        <v>7476</v>
      </c>
      <c r="I7" s="9" t="n">
        <f aca="false">F7/E7</f>
        <v>0.673505572441743</v>
      </c>
      <c r="J7" s="9" t="n">
        <f aca="false">H7/G7</f>
        <v>0.859112847621237</v>
      </c>
      <c r="K7" s="14" t="n">
        <f aca="false">(J7-I7)*100</f>
        <v>18.5607275179494</v>
      </c>
      <c r="L7" s="8" t="n">
        <f aca="false">E7-F7</f>
        <v>1289</v>
      </c>
      <c r="M7" s="8" t="n">
        <f aca="false">ROUND(MAX(0,E7*(J7-I7)),0)</f>
        <v>733</v>
      </c>
    </row>
    <row r="8" customFormat="false" ht="43.5" hidden="false" customHeight="true" outlineLevel="0" collapsed="false">
      <c r="A8" s="12" t="s">
        <v>66</v>
      </c>
      <c r="B8" s="13" t="s">
        <v>67</v>
      </c>
      <c r="C8" s="6" t="n">
        <v>2</v>
      </c>
      <c r="D8" s="13" t="s">
        <v>68</v>
      </c>
      <c r="E8" s="7" t="n">
        <v>1677</v>
      </c>
      <c r="F8" s="7" t="n">
        <v>1128</v>
      </c>
      <c r="G8" s="7" t="n">
        <v>14162</v>
      </c>
      <c r="H8" s="7" t="n">
        <v>10790</v>
      </c>
      <c r="I8" s="9" t="n">
        <f aca="false">F8/E8</f>
        <v>0.67262969588551</v>
      </c>
      <c r="J8" s="9" t="n">
        <f aca="false">H8/G8</f>
        <v>0.761898037000424</v>
      </c>
      <c r="K8" s="14" t="n">
        <f aca="false">(J8-I8)*100</f>
        <v>8.92683411149139</v>
      </c>
      <c r="L8" s="8" t="n">
        <f aca="false">E8-F8</f>
        <v>549</v>
      </c>
      <c r="M8" s="8" t="n">
        <f aca="false">ROUND(MAX(0,E8*(J8-I8)),0)</f>
        <v>150</v>
      </c>
    </row>
    <row r="9" customFormat="false" ht="43.5" hidden="false" customHeight="true" outlineLevel="0" collapsed="false">
      <c r="A9" s="12" t="s">
        <v>69</v>
      </c>
      <c r="B9" s="13" t="s">
        <v>70</v>
      </c>
      <c r="C9" s="6" t="n">
        <v>6</v>
      </c>
      <c r="D9" s="13" t="s">
        <v>71</v>
      </c>
      <c r="E9" s="7" t="n">
        <v>3123</v>
      </c>
      <c r="F9" s="7" t="n">
        <v>2522</v>
      </c>
      <c r="G9" s="7" t="n">
        <v>5301</v>
      </c>
      <c r="H9" s="7" t="n">
        <v>4672</v>
      </c>
      <c r="I9" s="9" t="n">
        <f aca="false">F9/E9</f>
        <v>0.80755683637528</v>
      </c>
      <c r="J9" s="9" t="n">
        <f aca="false">H9/G9</f>
        <v>0.881343142803245</v>
      </c>
      <c r="K9" s="14" t="n">
        <f aca="false">(J9-I9)*100</f>
        <v>7.37863064279645</v>
      </c>
      <c r="L9" s="8" t="n">
        <f aca="false">E9-F9</f>
        <v>601</v>
      </c>
      <c r="M9" s="8" t="n">
        <f aca="false">ROUND(MAX(0,E9*(J9-I9)),0)</f>
        <v>230</v>
      </c>
    </row>
    <row r="10" customFormat="false" ht="43.5" hidden="false" customHeight="true" outlineLevel="0" collapsed="false">
      <c r="A10" s="12" t="s">
        <v>72</v>
      </c>
      <c r="B10" s="13" t="s">
        <v>73</v>
      </c>
      <c r="C10" s="6" t="n">
        <v>9</v>
      </c>
      <c r="D10" s="13" t="s">
        <v>74</v>
      </c>
      <c r="E10" s="7" t="n">
        <v>1402</v>
      </c>
      <c r="F10" s="7" t="n">
        <v>694</v>
      </c>
      <c r="G10" s="7" t="n">
        <v>4562</v>
      </c>
      <c r="H10" s="7" t="n">
        <v>2768</v>
      </c>
      <c r="I10" s="9" t="n">
        <f aca="false">F10/E10</f>
        <v>0.495007132667618</v>
      </c>
      <c r="J10" s="9" t="n">
        <f aca="false">H10/G10</f>
        <v>0.606751424813678</v>
      </c>
      <c r="K10" s="14" t="n">
        <f aca="false">(J10-I10)*100</f>
        <v>11.174429214606</v>
      </c>
      <c r="L10" s="8" t="n">
        <f aca="false">E10-F10</f>
        <v>708</v>
      </c>
      <c r="M10" s="8" t="n">
        <f aca="false">ROUND(MAX(0,E10*(J10-I10)),0)</f>
        <v>157</v>
      </c>
    </row>
    <row r="11" customFormat="false" ht="43.5" hidden="false" customHeight="true" outlineLevel="0" collapsed="false">
      <c r="A11" s="12" t="s">
        <v>75</v>
      </c>
      <c r="B11" s="13" t="s">
        <v>76</v>
      </c>
      <c r="C11" s="6" t="n">
        <v>5</v>
      </c>
      <c r="D11" s="13" t="s">
        <v>77</v>
      </c>
      <c r="E11" s="7" t="n">
        <v>2725</v>
      </c>
      <c r="F11" s="7" t="n">
        <v>2264</v>
      </c>
      <c r="G11" s="7" t="n">
        <v>6583</v>
      </c>
      <c r="H11" s="7" t="n">
        <v>6160</v>
      </c>
      <c r="I11" s="9" t="n">
        <f aca="false">F11/E11</f>
        <v>0.830825688073395</v>
      </c>
      <c r="J11" s="9" t="n">
        <f aca="false">H11/G11</f>
        <v>0.935743581953517</v>
      </c>
      <c r="K11" s="14" t="n">
        <f aca="false">(J11-I11)*100</f>
        <v>10.4917893880122</v>
      </c>
      <c r="L11" s="8" t="n">
        <f aca="false">E11-F11</f>
        <v>461</v>
      </c>
      <c r="M11" s="8" t="n">
        <f aca="false">ROUND(MAX(0,E11*(J11-I11)),0)</f>
        <v>286</v>
      </c>
    </row>
    <row r="13" customFormat="false" ht="15" hidden="false" customHeight="false" outlineLevel="0" collapsed="false">
      <c r="A13" s="1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10" min="7" style="0" width="16"/>
    <col collapsed="false" customWidth="true" hidden="false" outlineLevel="0" max="11" min="11" style="0" width="18"/>
    <col collapsed="false" customWidth="true" hidden="false" outlineLevel="0" max="12" min="12" style="0" width="7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B4" s="11" t="s">
        <v>81</v>
      </c>
      <c r="C4" s="16" t="n">
        <v>5</v>
      </c>
    </row>
    <row r="5" customFormat="false" ht="15" hidden="false" customHeight="false" outlineLevel="0" collapsed="false">
      <c r="B5" s="11" t="s">
        <v>82</v>
      </c>
      <c r="C5" s="17" t="n">
        <v>2000</v>
      </c>
    </row>
    <row r="6" customFormat="false" ht="15" hidden="false" customHeight="false" outlineLevel="0" collapsed="false">
      <c r="B6" s="11" t="s">
        <v>83</v>
      </c>
      <c r="C6" s="18" t="n">
        <v>0.2</v>
      </c>
    </row>
    <row r="8" customFormat="false" ht="15" hidden="false" customHeight="false" outlineLevel="0" collapsed="false">
      <c r="B8" s="3" t="s">
        <v>84</v>
      </c>
      <c r="C8" s="19" t="s">
        <v>85</v>
      </c>
      <c r="D8" s="19" t="s">
        <v>86</v>
      </c>
      <c r="E8" s="19" t="s">
        <v>87</v>
      </c>
    </row>
    <row r="9" customFormat="false" ht="15" hidden="false" customHeight="false" outlineLevel="0" collapsed="false">
      <c r="B9" s="11" t="s">
        <v>88</v>
      </c>
      <c r="C9" s="18" t="n">
        <v>0.25</v>
      </c>
      <c r="D9" s="18" t="n">
        <v>0.5</v>
      </c>
      <c r="E9" s="18" t="n">
        <v>0.75</v>
      </c>
    </row>
    <row r="12" customFormat="false" ht="31.5" hidden="false" customHeight="true" outlineLevel="0" collapsed="false">
      <c r="A12" s="5" t="s">
        <v>46</v>
      </c>
      <c r="B12" s="5" t="s">
        <v>47</v>
      </c>
      <c r="C12" s="5" t="s">
        <v>20</v>
      </c>
      <c r="D12" s="5" t="s">
        <v>57</v>
      </c>
      <c r="E12" s="5" t="s">
        <v>89</v>
      </c>
      <c r="F12" s="5" t="s">
        <v>90</v>
      </c>
      <c r="G12" s="5" t="s">
        <v>91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</row>
    <row r="13" customFormat="false" ht="43.5" hidden="false" customHeight="true" outlineLevel="0" collapsed="false">
      <c r="A13" s="20" t="str">
        <f aca="false">'Lever data'!A5</f>
        <v>L1a</v>
      </c>
      <c r="B13" s="21" t="str">
        <f aca="false">'Lever data'!B5</f>
        <v>Alternative KYC path for users whose Aadhaar is not linked to their mobile (KYC stage)</v>
      </c>
      <c r="C13" s="22" t="n">
        <f aca="false">'Lever data'!C5</f>
        <v>2</v>
      </c>
      <c r="D13" s="23" t="n">
        <f aca="false">'Lever data'!M5</f>
        <v>920</v>
      </c>
      <c r="E13" s="24" t="n">
        <f aca="false">IF(C13&gt;=9,1,PRODUCT(INDEX(Funnel!$F$5:$F$14,C13+1):INDEX(Funnel!$F$5:$F$14,9)))</f>
        <v>0.273675889328063</v>
      </c>
      <c r="F13" s="18" t="n">
        <v>0.7</v>
      </c>
      <c r="G13" s="25" t="n">
        <v>12</v>
      </c>
      <c r="H13" s="26" t="n">
        <f aca="false">D13*$C$9*E13/$C$4</f>
        <v>12.5890909090909</v>
      </c>
      <c r="I13" s="26" t="n">
        <f aca="false">D13*$D$9*E13/$C$4</f>
        <v>25.1781818181818</v>
      </c>
      <c r="J13" s="26" t="n">
        <f aca="false">D13*$E$9*E13/$C$4</f>
        <v>37.7672727272727</v>
      </c>
      <c r="K13" s="27" t="n">
        <f aca="false">I13*F13/G13</f>
        <v>1.46872727272727</v>
      </c>
      <c r="L13" s="28" t="n">
        <f aca="false">RANK(K13,$K$13:$K$19)</f>
        <v>4</v>
      </c>
    </row>
    <row r="14" customFormat="false" ht="43.5" hidden="false" customHeight="true" outlineLevel="0" collapsed="false">
      <c r="A14" s="20" t="str">
        <f aca="false">'Lever data'!A6</f>
        <v>L1b</v>
      </c>
      <c r="B14" s="21" t="str">
        <f aca="false">'Lever data'!B6</f>
        <v>Offline-KYC users blocked at e-Sign (signature step)</v>
      </c>
      <c r="C14" s="22" t="n">
        <f aca="false">'Lever data'!C6</f>
        <v>7</v>
      </c>
      <c r="D14" s="23" t="n">
        <f aca="false">'Lever data'!M6</f>
        <v>62</v>
      </c>
      <c r="E14" s="24" t="n">
        <f aca="false">IF(C14&gt;=9,1,PRODUCT(INDEX(Funnel!$F$5:$F$14,C14+1):INDEX(Funnel!$F$5:$F$14,9)))</f>
        <v>0.536993950674732</v>
      </c>
      <c r="F14" s="18" t="n">
        <v>0.6</v>
      </c>
      <c r="G14" s="25" t="n">
        <v>4</v>
      </c>
      <c r="H14" s="26" t="n">
        <f aca="false">D14*$C$9*E14/$C$4</f>
        <v>1.66468124709167</v>
      </c>
      <c r="I14" s="26" t="n">
        <f aca="false">D14*$D$9*E14/$C$4</f>
        <v>3.32936249418334</v>
      </c>
      <c r="J14" s="26" t="n">
        <f aca="false">D14*$E$9*E14/$C$4</f>
        <v>4.99404374127501</v>
      </c>
      <c r="K14" s="27" t="n">
        <f aca="false">I14*F14/G14</f>
        <v>0.499404374127501</v>
      </c>
      <c r="L14" s="28" t="n">
        <f aca="false">RANK(K14,$K$13:$K$19)</f>
        <v>7</v>
      </c>
    </row>
    <row r="15" customFormat="false" ht="43.5" hidden="false" customHeight="true" outlineLevel="0" collapsed="false">
      <c r="A15" s="20" t="str">
        <f aca="false">'Lever data'!A7</f>
        <v>L2</v>
      </c>
      <c r="B15" s="21" t="str">
        <f aca="false">'Lever data'!B7</f>
        <v>Bank-verification fallback (UPI / cancelled-cheque upload) for problem banks</v>
      </c>
      <c r="C15" s="22" t="n">
        <f aca="false">'Lever data'!C7</f>
        <v>3</v>
      </c>
      <c r="D15" s="23" t="n">
        <f aca="false">'Lever data'!M7</f>
        <v>733</v>
      </c>
      <c r="E15" s="24" t="n">
        <f aca="false">IF(C15&gt;=9,1,PRODUCT(INDEX(Funnel!$F$5:$F$14,C15+1):INDEX(Funnel!$F$5:$F$14,9)))</f>
        <v>0.34158855451406</v>
      </c>
      <c r="F15" s="18" t="n">
        <v>0.7</v>
      </c>
      <c r="G15" s="25" t="n">
        <v>6</v>
      </c>
      <c r="H15" s="26" t="n">
        <f aca="false">D15*$C$9*E15/$C$4</f>
        <v>12.5192205229403</v>
      </c>
      <c r="I15" s="26" t="n">
        <f aca="false">D15*$D$9*E15/$C$4</f>
        <v>25.0384410458806</v>
      </c>
      <c r="J15" s="26" t="n">
        <f aca="false">D15*$E$9*E15/$C$4</f>
        <v>37.5576615688209</v>
      </c>
      <c r="K15" s="27" t="n">
        <f aca="false">I15*F15/G15</f>
        <v>2.92115145535274</v>
      </c>
      <c r="L15" s="28" t="n">
        <f aca="false">RANK(K15,$K$13:$K$19)</f>
        <v>1</v>
      </c>
    </row>
    <row r="16" customFormat="false" ht="43.5" hidden="false" customHeight="true" outlineLevel="0" collapsed="false">
      <c r="A16" s="20" t="str">
        <f aca="false">'Lever data'!A8</f>
        <v>L3</v>
      </c>
      <c r="B16" s="21" t="str">
        <f aca="false">'Lever data'!B8</f>
        <v>Save-and-resume with reminders for late-night KYC starters</v>
      </c>
      <c r="C16" s="22" t="n">
        <f aca="false">'Lever data'!C8</f>
        <v>2</v>
      </c>
      <c r="D16" s="23" t="n">
        <f aca="false">'Lever data'!M8</f>
        <v>150</v>
      </c>
      <c r="E16" s="24" t="n">
        <f aca="false">IF(C16&gt;=9,1,PRODUCT(INDEX(Funnel!$F$5:$F$14,C16+1):INDEX(Funnel!$F$5:$F$14,9)))</f>
        <v>0.273675889328063</v>
      </c>
      <c r="F16" s="18" t="n">
        <v>0.5</v>
      </c>
      <c r="G16" s="25" t="n">
        <v>3</v>
      </c>
      <c r="H16" s="26" t="n">
        <f aca="false">D16*$C$9*E16/$C$4</f>
        <v>2.05256916996048</v>
      </c>
      <c r="I16" s="26" t="n">
        <f aca="false">D16*$D$9*E16/$C$4</f>
        <v>4.10513833992095</v>
      </c>
      <c r="J16" s="26" t="n">
        <f aca="false">D16*$E$9*E16/$C$4</f>
        <v>6.15770750988142</v>
      </c>
      <c r="K16" s="27" t="n">
        <f aca="false">I16*F16/G16</f>
        <v>0.684189723320158</v>
      </c>
      <c r="L16" s="28" t="n">
        <f aca="false">RANK(K16,$K$13:$K$19)</f>
        <v>6</v>
      </c>
    </row>
    <row r="17" customFormat="false" ht="43.5" hidden="false" customHeight="true" outlineLevel="0" collapsed="false">
      <c r="A17" s="20" t="str">
        <f aca="false">'Lever data'!A9</f>
        <v>L4</v>
      </c>
      <c r="B17" s="21" t="str">
        <f aca="false">'Lever data'!B9</f>
        <v>Assisted selfie / IPV capture for low-end Android, web and 55+ users</v>
      </c>
      <c r="C17" s="22" t="n">
        <f aca="false">'Lever data'!C9</f>
        <v>6</v>
      </c>
      <c r="D17" s="23" t="n">
        <f aca="false">'Lever data'!M9</f>
        <v>230</v>
      </c>
      <c r="E17" s="24" t="n">
        <f aca="false">IF(C17&gt;=9,1,PRODUCT(INDEX(Funnel!$F$5:$F$14,C17+1):INDEX(Funnel!$F$5:$F$14,9)))</f>
        <v>0.481234361968307</v>
      </c>
      <c r="F17" s="18" t="n">
        <v>0.6</v>
      </c>
      <c r="G17" s="25" t="n">
        <v>5</v>
      </c>
      <c r="H17" s="26" t="n">
        <f aca="false">D17*$C$9*E17/$C$4</f>
        <v>5.53419516263553</v>
      </c>
      <c r="I17" s="26" t="n">
        <f aca="false">D17*$D$9*E17/$C$4</f>
        <v>11.0683903252711</v>
      </c>
      <c r="J17" s="26" t="n">
        <f aca="false">D17*$E$9*E17/$C$4</f>
        <v>16.6025854879066</v>
      </c>
      <c r="K17" s="27" t="n">
        <f aca="false">I17*F17/G17</f>
        <v>1.32820683903253</v>
      </c>
      <c r="L17" s="28" t="n">
        <f aca="false">RANK(K17,$K$13:$K$19)</f>
        <v>5</v>
      </c>
    </row>
    <row r="18" customFormat="false" ht="43.5" hidden="false" customHeight="true" outlineLevel="0" collapsed="false">
      <c r="A18" s="20" t="str">
        <f aca="false">'Lever data'!A10</f>
        <v>L5</v>
      </c>
      <c r="B18" s="21" t="str">
        <f aca="false">'Lever data'!B10</f>
        <v>First-funding nudges (one-tap UPI, starter offer) for paid-social/influencer users</v>
      </c>
      <c r="C18" s="22" t="n">
        <f aca="false">'Lever data'!C10</f>
        <v>9</v>
      </c>
      <c r="D18" s="23" t="n">
        <f aca="false">'Lever data'!M10</f>
        <v>157</v>
      </c>
      <c r="E18" s="24" t="n">
        <f aca="false">IF(C18&gt;=9,1,PRODUCT(INDEX(Funnel!$F$5:$F$14,C18+1):INDEX(Funnel!$F$5:$F$14,9)))</f>
        <v>1</v>
      </c>
      <c r="F18" s="18" t="n">
        <v>0.4</v>
      </c>
      <c r="G18" s="25" t="n">
        <v>3</v>
      </c>
      <c r="H18" s="26" t="n">
        <f aca="false">D18*$C$9*E18/$C$4</f>
        <v>7.85</v>
      </c>
      <c r="I18" s="26" t="n">
        <f aca="false">D18*$D$9*E18/$C$4</f>
        <v>15.7</v>
      </c>
      <c r="J18" s="26" t="n">
        <f aca="false">D18*$E$9*E18/$C$4</f>
        <v>23.55</v>
      </c>
      <c r="K18" s="27" t="n">
        <f aca="false">I18*F18/G18</f>
        <v>2.09333333333333</v>
      </c>
      <c r="L18" s="28" t="n">
        <f aca="false">RANK(K18,$K$13:$K$19)</f>
        <v>2</v>
      </c>
    </row>
    <row r="19" customFormat="false" ht="43.5" hidden="false" customHeight="true" outlineLevel="0" collapsed="false">
      <c r="A19" s="20" t="str">
        <f aca="false">'Lever data'!A11</f>
        <v>L6</v>
      </c>
      <c r="B19" s="21" t="str">
        <f aca="false">'Lever data'!B11</f>
        <v>Simplified income-proof upload for F&amp;O seekers</v>
      </c>
      <c r="C19" s="22" t="n">
        <f aca="false">'Lever data'!C11</f>
        <v>5</v>
      </c>
      <c r="D19" s="23" t="n">
        <f aca="false">'Lever data'!M11</f>
        <v>286</v>
      </c>
      <c r="E19" s="24" t="n">
        <f aca="false">IF(C19&gt;=9,1,PRODUCT(INDEX(Funnel!$F$5:$F$14,C19+1):INDEX(Funnel!$F$5:$F$14,9)))</f>
        <v>0.410968660968661</v>
      </c>
      <c r="F19" s="18" t="n">
        <v>0.6</v>
      </c>
      <c r="G19" s="25" t="n">
        <v>4</v>
      </c>
      <c r="H19" s="26" t="n">
        <f aca="false">D19*$C$9*E19/$C$4</f>
        <v>5.87685185185185</v>
      </c>
      <c r="I19" s="26" t="n">
        <f aca="false">D19*$D$9*E19/$C$4</f>
        <v>11.7537037037037</v>
      </c>
      <c r="J19" s="26" t="n">
        <f aca="false">D19*$E$9*E19/$C$4</f>
        <v>17.6305555555556</v>
      </c>
      <c r="K19" s="27" t="n">
        <f aca="false">I19*F19/G19</f>
        <v>1.76305555555556</v>
      </c>
      <c r="L19" s="28" t="n">
        <f aca="false">RANK(K19,$K$13:$K$19)</f>
        <v>3</v>
      </c>
    </row>
    <row r="20" customFormat="false" ht="15" hidden="false" customHeight="false" outlineLevel="0" collapsed="false">
      <c r="B20" s="3" t="s">
        <v>97</v>
      </c>
      <c r="H20" s="29" t="n">
        <f aca="false">SUM(H13:H19)</f>
        <v>48.0866088635707</v>
      </c>
      <c r="I20" s="29" t="n">
        <f aca="false">SUM(I13:I19)</f>
        <v>96.1732177271415</v>
      </c>
      <c r="J20" s="29" t="n">
        <f aca="false">SUM(J13:J19)</f>
        <v>144.259826590712</v>
      </c>
    </row>
    <row r="21" customFormat="false" ht="15" hidden="false" customHeight="false" outlineLevel="0" collapsed="false">
      <c r="B21" s="11" t="s">
        <v>98</v>
      </c>
      <c r="H21" s="26" t="n">
        <f aca="false">H20*(1-$C$6)</f>
        <v>38.4692870908566</v>
      </c>
      <c r="I21" s="26" t="n">
        <f aca="false">I20*(1-$C$6)</f>
        <v>76.9385741817132</v>
      </c>
      <c r="J21" s="26" t="n">
        <f aca="false">J20*(1-$C$6)</f>
        <v>115.40786127257</v>
      </c>
    </row>
    <row r="22" customFormat="false" ht="15" hidden="false" customHeight="false" outlineLevel="0" collapsed="false">
      <c r="B22" s="11" t="s">
        <v>99</v>
      </c>
      <c r="H22" s="30" t="n">
        <f aca="false">Funnel!$D$13/$C$4</f>
        <v>692.4</v>
      </c>
      <c r="I22" s="30" t="n">
        <f aca="false">Funnel!$D$13/$C$4</f>
        <v>692.4</v>
      </c>
      <c r="J22" s="30" t="n">
        <f aca="false">Funnel!$D$13/$C$4</f>
        <v>692.4</v>
      </c>
    </row>
    <row r="23" customFormat="false" ht="15" hidden="false" customHeight="false" outlineLevel="0" collapsed="false">
      <c r="B23" s="11" t="s">
        <v>100</v>
      </c>
      <c r="H23" s="31" t="n">
        <f aca="false">H21/H22</f>
        <v>0.0555593401081118</v>
      </c>
      <c r="I23" s="31" t="n">
        <f aca="false">I21/I22</f>
        <v>0.111118680216224</v>
      </c>
      <c r="J23" s="31" t="n">
        <f aca="false">J21/J22</f>
        <v>0.166678020324335</v>
      </c>
    </row>
    <row r="24" customFormat="false" ht="15" hidden="false" customHeight="false" outlineLevel="0" collapsed="false">
      <c r="B24" s="11" t="s">
        <v>101</v>
      </c>
      <c r="H24" s="32" t="n">
        <f aca="false">H21*12*$C$5</f>
        <v>923262.890180558</v>
      </c>
      <c r="I24" s="32" t="n">
        <f aca="false">I21*12*$C$5</f>
        <v>1846525.78036112</v>
      </c>
      <c r="J24" s="32" t="n">
        <f aca="false">J21*12*$C$5</f>
        <v>2769788.67054168</v>
      </c>
    </row>
    <row r="26" customFormat="false" ht="15" hidden="false" customHeight="false" outlineLevel="0" collapsed="false">
      <c r="B26" s="33" t="s">
        <v>102</v>
      </c>
    </row>
    <row r="27" customFormat="false" ht="15" hidden="false" customHeight="false" outlineLevel="0" collapsed="false">
      <c r="B27" s="34" t="s">
        <v>103</v>
      </c>
    </row>
    <row r="28" customFormat="false" ht="15" hidden="false" customHeight="false" outlineLevel="0" collapsed="false">
      <c r="B28" s="34" t="s">
        <v>104</v>
      </c>
    </row>
    <row r="29" customFormat="false" ht="15" hidden="false" customHeight="false" outlineLevel="0" collapsed="false">
      <c r="B29" s="34" t="s">
        <v>105</v>
      </c>
    </row>
    <row r="30" customFormat="false" ht="15" hidden="false" customHeight="false" outlineLevel="0" collapsed="false">
      <c r="B30" s="3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35" t="s">
        <v>109</v>
      </c>
      <c r="C3" s="24" t="n">
        <f aca="false">Funnel!C19</f>
        <v>0.2982</v>
      </c>
    </row>
    <row r="5" customFormat="false" ht="31.5" hidden="false" customHeight="true" outlineLevel="0" collapsed="false">
      <c r="A5" s="5" t="s">
        <v>110</v>
      </c>
      <c r="B5" s="5" t="s">
        <v>48</v>
      </c>
      <c r="C5" s="5" t="s">
        <v>111</v>
      </c>
      <c r="D5" s="5" t="s">
        <v>112</v>
      </c>
      <c r="E5" s="5" t="s">
        <v>113</v>
      </c>
      <c r="F5" s="5" t="s">
        <v>37</v>
      </c>
      <c r="G5" s="5" t="s">
        <v>114</v>
      </c>
      <c r="H5" s="5" t="s">
        <v>115</v>
      </c>
      <c r="I5" s="5" t="s">
        <v>116</v>
      </c>
      <c r="J5" s="5" t="s">
        <v>117</v>
      </c>
    </row>
    <row r="6" customFormat="false" ht="15" hidden="false" customHeight="false" outlineLevel="0" collapsed="false">
      <c r="A6" s="6" t="s">
        <v>118</v>
      </c>
      <c r="B6" s="6" t="s">
        <v>119</v>
      </c>
      <c r="C6" s="7" t="n">
        <v>4393</v>
      </c>
      <c r="D6" s="7" t="n">
        <v>1315</v>
      </c>
      <c r="E6" s="7" t="n">
        <v>755</v>
      </c>
      <c r="F6" s="7" t="n">
        <v>529</v>
      </c>
      <c r="G6" s="9" t="n">
        <f aca="false">D6/C6</f>
        <v>0.299339858866378</v>
      </c>
      <c r="H6" s="9" t="n">
        <f aca="false">E6/C6</f>
        <v>0.171864329615297</v>
      </c>
      <c r="I6" s="14" t="n">
        <f aca="false">(G6-$C$3)*100</f>
        <v>0.11398588663783</v>
      </c>
      <c r="J6" s="24" t="n">
        <f aca="false">C6/Funnel!$C$5</f>
        <v>0.21965</v>
      </c>
    </row>
    <row r="7" customFormat="false" ht="15" hidden="false" customHeight="false" outlineLevel="0" collapsed="false">
      <c r="A7" s="6" t="s">
        <v>118</v>
      </c>
      <c r="B7" s="6" t="s">
        <v>120</v>
      </c>
      <c r="C7" s="7" t="n">
        <v>3552</v>
      </c>
      <c r="D7" s="7" t="n">
        <v>949</v>
      </c>
      <c r="E7" s="7" t="n">
        <v>475</v>
      </c>
      <c r="F7" s="7" t="n">
        <v>316</v>
      </c>
      <c r="G7" s="9" t="n">
        <f aca="false">D7/C7</f>
        <v>0.267173423423423</v>
      </c>
      <c r="H7" s="9" t="n">
        <f aca="false">E7/C7</f>
        <v>0.133727477477477</v>
      </c>
      <c r="I7" s="14" t="n">
        <f aca="false">(G7-$C$3)*100</f>
        <v>-3.10265765765766</v>
      </c>
      <c r="J7" s="24" t="n">
        <f aca="false">C7/Funnel!$C$5</f>
        <v>0.1776</v>
      </c>
    </row>
    <row r="8" customFormat="false" ht="15" hidden="false" customHeight="false" outlineLevel="0" collapsed="false">
      <c r="A8" s="6" t="s">
        <v>118</v>
      </c>
      <c r="B8" s="6" t="s">
        <v>121</v>
      </c>
      <c r="C8" s="7" t="n">
        <v>1587</v>
      </c>
      <c r="D8" s="7" t="n">
        <v>453</v>
      </c>
      <c r="E8" s="7" t="n">
        <v>219</v>
      </c>
      <c r="F8" s="7" t="n">
        <v>143</v>
      </c>
      <c r="G8" s="9" t="n">
        <f aca="false">D8/C8</f>
        <v>0.285444234404537</v>
      </c>
      <c r="H8" s="9" t="n">
        <f aca="false">E8/C8</f>
        <v>0.137996219281664</v>
      </c>
      <c r="I8" s="14" t="n">
        <f aca="false">(G8-$C$3)*100</f>
        <v>-1.27557655954632</v>
      </c>
      <c r="J8" s="24" t="n">
        <f aca="false">C8/Funnel!$C$5</f>
        <v>0.07935</v>
      </c>
    </row>
    <row r="9" customFormat="false" ht="15" hidden="false" customHeight="false" outlineLevel="0" collapsed="false">
      <c r="A9" s="6" t="s">
        <v>118</v>
      </c>
      <c r="B9" s="6" t="s">
        <v>122</v>
      </c>
      <c r="C9" s="7" t="n">
        <v>5649</v>
      </c>
      <c r="D9" s="7" t="n">
        <v>1676</v>
      </c>
      <c r="E9" s="7" t="n">
        <v>990</v>
      </c>
      <c r="F9" s="7" t="n">
        <v>709</v>
      </c>
      <c r="G9" s="9" t="n">
        <f aca="false">D9/C9</f>
        <v>0.296689679589308</v>
      </c>
      <c r="H9" s="9" t="n">
        <f aca="false">E9/C9</f>
        <v>0.175252257036644</v>
      </c>
      <c r="I9" s="14" t="n">
        <f aca="false">(G9-$C$3)*100</f>
        <v>-0.151032041069216</v>
      </c>
      <c r="J9" s="24" t="n">
        <f aca="false">C9/Funnel!$C$5</f>
        <v>0.28245</v>
      </c>
    </row>
    <row r="10" customFormat="false" ht="15" hidden="false" customHeight="false" outlineLevel="0" collapsed="false">
      <c r="A10" s="6" t="s">
        <v>118</v>
      </c>
      <c r="B10" s="6" t="s">
        <v>123</v>
      </c>
      <c r="C10" s="7" t="n">
        <v>1983</v>
      </c>
      <c r="D10" s="7" t="n">
        <v>637</v>
      </c>
      <c r="E10" s="7" t="n">
        <v>391</v>
      </c>
      <c r="F10" s="7" t="n">
        <v>285</v>
      </c>
      <c r="G10" s="9" t="n">
        <f aca="false">D10/C10</f>
        <v>0.321230458900656</v>
      </c>
      <c r="H10" s="9" t="n">
        <f aca="false">E10/C10</f>
        <v>0.197175995965709</v>
      </c>
      <c r="I10" s="14" t="n">
        <f aca="false">(G10-$C$3)*100</f>
        <v>2.30304589006555</v>
      </c>
      <c r="J10" s="24" t="n">
        <f aca="false">C10/Funnel!$C$5</f>
        <v>0.09915</v>
      </c>
    </row>
    <row r="11" customFormat="false" ht="15" hidden="false" customHeight="false" outlineLevel="0" collapsed="false">
      <c r="A11" s="6" t="s">
        <v>118</v>
      </c>
      <c r="B11" s="6" t="s">
        <v>124</v>
      </c>
      <c r="C11" s="7" t="n">
        <v>2836</v>
      </c>
      <c r="D11" s="7" t="n">
        <v>934</v>
      </c>
      <c r="E11" s="7" t="n">
        <v>632</v>
      </c>
      <c r="F11" s="7" t="n">
        <v>446</v>
      </c>
      <c r="G11" s="9" t="n">
        <f aca="false">D11/C11</f>
        <v>0.329337094499295</v>
      </c>
      <c r="H11" s="9" t="n">
        <f aca="false">E11/C11</f>
        <v>0.222849083215797</v>
      </c>
      <c r="I11" s="14" t="n">
        <f aca="false">(G11-$C$3)*100</f>
        <v>3.11370944992948</v>
      </c>
      <c r="J11" s="24" t="n">
        <f aca="false">C11/Funnel!$C$5</f>
        <v>0.1418</v>
      </c>
    </row>
    <row r="12" customFormat="false" ht="15" hidden="false" customHeight="false" outlineLevel="0" collapsed="false">
      <c r="A12" s="6" t="s">
        <v>125</v>
      </c>
      <c r="B12" s="6" t="s">
        <v>126</v>
      </c>
      <c r="C12" s="7" t="n">
        <v>14456</v>
      </c>
      <c r="D12" s="7" t="n">
        <v>4141</v>
      </c>
      <c r="E12" s="7" t="n">
        <v>2383</v>
      </c>
      <c r="F12" s="7" t="n">
        <v>1631</v>
      </c>
      <c r="G12" s="9" t="n">
        <f aca="false">D12/C12</f>
        <v>0.286455451023796</v>
      </c>
      <c r="H12" s="9" t="n">
        <f aca="false">E12/C12</f>
        <v>0.164845047039292</v>
      </c>
      <c r="I12" s="14" t="n">
        <f aca="false">(G12-$C$3)*100</f>
        <v>-1.17445489762037</v>
      </c>
      <c r="J12" s="24" t="n">
        <f aca="false">C12/Funnel!$C$5</f>
        <v>0.7228</v>
      </c>
    </row>
    <row r="13" customFormat="false" ht="15" hidden="false" customHeight="false" outlineLevel="0" collapsed="false">
      <c r="A13" s="6" t="s">
        <v>125</v>
      </c>
      <c r="B13" s="6" t="s">
        <v>127</v>
      </c>
      <c r="C13" s="7" t="n">
        <v>2005</v>
      </c>
      <c r="D13" s="7" t="n">
        <v>618</v>
      </c>
      <c r="E13" s="7" t="n">
        <v>368</v>
      </c>
      <c r="F13" s="7" t="n">
        <v>267</v>
      </c>
      <c r="G13" s="9" t="n">
        <f aca="false">D13/C13</f>
        <v>0.308229426433915</v>
      </c>
      <c r="H13" s="9" t="n">
        <f aca="false">E13/C13</f>
        <v>0.18354114713217</v>
      </c>
      <c r="I13" s="14" t="n">
        <f aca="false">(G13-$C$3)*100</f>
        <v>1.00294264339152</v>
      </c>
      <c r="J13" s="24" t="n">
        <f aca="false">C13/Funnel!$C$5</f>
        <v>0.10025</v>
      </c>
    </row>
    <row r="14" customFormat="false" ht="15" hidden="false" customHeight="false" outlineLevel="0" collapsed="false">
      <c r="A14" s="6" t="s">
        <v>125</v>
      </c>
      <c r="B14" s="6" t="s">
        <v>128</v>
      </c>
      <c r="C14" s="7" t="n">
        <v>3539</v>
      </c>
      <c r="D14" s="7" t="n">
        <v>1205</v>
      </c>
      <c r="E14" s="7" t="n">
        <v>711</v>
      </c>
      <c r="F14" s="7" t="n">
        <v>530</v>
      </c>
      <c r="G14" s="9" t="n">
        <f aca="false">D14/C14</f>
        <v>0.340491664311953</v>
      </c>
      <c r="H14" s="9" t="n">
        <f aca="false">E14/C14</f>
        <v>0.200904210228878</v>
      </c>
      <c r="I14" s="14" t="n">
        <f aca="false">(G14-$C$3)*100</f>
        <v>4.22916643119525</v>
      </c>
      <c r="J14" s="24" t="n">
        <f aca="false">C14/Funnel!$C$5</f>
        <v>0.17695</v>
      </c>
    </row>
    <row r="15" customFormat="false" ht="15" hidden="false" customHeight="false" outlineLevel="0" collapsed="false">
      <c r="A15" s="6" t="s">
        <v>129</v>
      </c>
      <c r="B15" s="6" t="s">
        <v>130</v>
      </c>
      <c r="C15" s="7" t="n">
        <v>2005</v>
      </c>
      <c r="D15" s="7" t="n">
        <v>618</v>
      </c>
      <c r="E15" s="7" t="n">
        <v>368</v>
      </c>
      <c r="F15" s="7" t="n">
        <v>267</v>
      </c>
      <c r="G15" s="9" t="n">
        <f aca="false">D15/C15</f>
        <v>0.308229426433915</v>
      </c>
      <c r="H15" s="9" t="n">
        <f aca="false">E15/C15</f>
        <v>0.18354114713217</v>
      </c>
      <c r="I15" s="14" t="n">
        <f aca="false">(G15-$C$3)*100</f>
        <v>1.00294264339152</v>
      </c>
      <c r="J15" s="24" t="n">
        <f aca="false">C15/Funnel!$C$5</f>
        <v>0.10025</v>
      </c>
    </row>
    <row r="16" customFormat="false" ht="15" hidden="false" customHeight="false" outlineLevel="0" collapsed="false">
      <c r="A16" s="6" t="s">
        <v>129</v>
      </c>
      <c r="B16" s="6" t="s">
        <v>131</v>
      </c>
      <c r="C16" s="7" t="n">
        <v>5457</v>
      </c>
      <c r="D16" s="7" t="n">
        <v>1827</v>
      </c>
      <c r="E16" s="7" t="n">
        <v>1073</v>
      </c>
      <c r="F16" s="7" t="n">
        <v>797</v>
      </c>
      <c r="G16" s="9" t="n">
        <f aca="false">D16/C16</f>
        <v>0.334799340296866</v>
      </c>
      <c r="H16" s="9" t="n">
        <f aca="false">E16/C16</f>
        <v>0.196628183983874</v>
      </c>
      <c r="I16" s="14" t="n">
        <f aca="false">(G16-$C$3)*100</f>
        <v>3.65993402968664</v>
      </c>
      <c r="J16" s="24" t="n">
        <f aca="false">C16/Funnel!$C$5</f>
        <v>0.27285</v>
      </c>
    </row>
    <row r="17" customFormat="false" ht="15" hidden="false" customHeight="false" outlineLevel="0" collapsed="false">
      <c r="A17" s="6" t="s">
        <v>129</v>
      </c>
      <c r="B17" s="6" t="s">
        <v>132</v>
      </c>
      <c r="C17" s="7" t="n">
        <v>5875</v>
      </c>
      <c r="D17" s="7" t="n">
        <v>1453</v>
      </c>
      <c r="E17" s="7" t="n">
        <v>824</v>
      </c>
      <c r="F17" s="7" t="n">
        <v>586</v>
      </c>
      <c r="G17" s="9" t="n">
        <f aca="false">D17/C17</f>
        <v>0.24731914893617</v>
      </c>
      <c r="H17" s="9" t="n">
        <f aca="false">E17/C17</f>
        <v>0.140255319148936</v>
      </c>
      <c r="I17" s="14" t="n">
        <f aca="false">(G17-$C$3)*100</f>
        <v>-5.08808510638298</v>
      </c>
      <c r="J17" s="24" t="n">
        <f aca="false">C17/Funnel!$C$5</f>
        <v>0.29375</v>
      </c>
    </row>
    <row r="18" customFormat="false" ht="15" hidden="false" customHeight="false" outlineLevel="0" collapsed="false">
      <c r="A18" s="6" t="s">
        <v>129</v>
      </c>
      <c r="B18" s="6" t="s">
        <v>133</v>
      </c>
      <c r="C18" s="7" t="n">
        <v>6663</v>
      </c>
      <c r="D18" s="7" t="n">
        <v>2066</v>
      </c>
      <c r="E18" s="7" t="n">
        <v>1197</v>
      </c>
      <c r="F18" s="7" t="n">
        <v>778</v>
      </c>
      <c r="G18" s="9" t="n">
        <f aca="false">D18/C18</f>
        <v>0.310070538796338</v>
      </c>
      <c r="H18" s="9" t="n">
        <f aca="false">E18/C18</f>
        <v>0.179648806843764</v>
      </c>
      <c r="I18" s="14" t="n">
        <f aca="false">(G18-$C$3)*100</f>
        <v>1.1870538796338</v>
      </c>
      <c r="J18" s="24" t="n">
        <f aca="false">C18/Funnel!$C$5</f>
        <v>0.33315</v>
      </c>
    </row>
    <row r="19" customFormat="false" ht="15" hidden="false" customHeight="false" outlineLevel="0" collapsed="false">
      <c r="A19" s="6" t="s">
        <v>134</v>
      </c>
      <c r="B19" s="6" t="s">
        <v>135</v>
      </c>
      <c r="C19" s="7" t="n">
        <v>7068</v>
      </c>
      <c r="D19" s="7" t="n">
        <v>2237</v>
      </c>
      <c r="E19" s="7" t="n">
        <v>1372</v>
      </c>
      <c r="F19" s="7" t="n">
        <v>949</v>
      </c>
      <c r="G19" s="9" t="n">
        <f aca="false">D19/C19</f>
        <v>0.31649688737974</v>
      </c>
      <c r="H19" s="9" t="n">
        <f aca="false">E19/C19</f>
        <v>0.194114318053198</v>
      </c>
      <c r="I19" s="14" t="n">
        <f aca="false">(G19-$C$3)*100</f>
        <v>1.82968873797397</v>
      </c>
      <c r="J19" s="24" t="n">
        <f aca="false">C19/Funnel!$C$5</f>
        <v>0.3534</v>
      </c>
    </row>
    <row r="20" customFormat="false" ht="15" hidden="false" customHeight="false" outlineLevel="0" collapsed="false">
      <c r="A20" s="6" t="s">
        <v>134</v>
      </c>
      <c r="B20" s="6" t="s">
        <v>136</v>
      </c>
      <c r="C20" s="7" t="n">
        <v>7533</v>
      </c>
      <c r="D20" s="7" t="n">
        <v>2340</v>
      </c>
      <c r="E20" s="7" t="n">
        <v>1349</v>
      </c>
      <c r="F20" s="7" t="n">
        <v>949</v>
      </c>
      <c r="G20" s="9" t="n">
        <f aca="false">D20/C20</f>
        <v>0.31063321385902</v>
      </c>
      <c r="H20" s="9" t="n">
        <f aca="false">E20/C20</f>
        <v>0.179078720297358</v>
      </c>
      <c r="I20" s="14" t="n">
        <f aca="false">(G20-$C$3)*100</f>
        <v>1.24332138590203</v>
      </c>
      <c r="J20" s="24" t="n">
        <f aca="false">C20/Funnel!$C$5</f>
        <v>0.37665</v>
      </c>
    </row>
    <row r="21" customFormat="false" ht="15" hidden="false" customHeight="false" outlineLevel="0" collapsed="false">
      <c r="A21" s="6" t="s">
        <v>134</v>
      </c>
      <c r="B21" s="6" t="s">
        <v>137</v>
      </c>
      <c r="C21" s="7" t="n">
        <v>5399</v>
      </c>
      <c r="D21" s="7" t="n">
        <v>1387</v>
      </c>
      <c r="E21" s="7" t="n">
        <v>741</v>
      </c>
      <c r="F21" s="7" t="n">
        <v>530</v>
      </c>
      <c r="G21" s="9" t="n">
        <f aca="false">D21/C21</f>
        <v>0.256899425819596</v>
      </c>
      <c r="H21" s="9" t="n">
        <f aca="false">E21/C21</f>
        <v>0.137247638451565</v>
      </c>
      <c r="I21" s="14" t="n">
        <f aca="false">(G21-$C$3)*100</f>
        <v>-4.13005741804038</v>
      </c>
      <c r="J21" s="24" t="n">
        <f aca="false">C21/Funnel!$C$5</f>
        <v>0.26995</v>
      </c>
    </row>
    <row r="22" customFormat="false" ht="15" hidden="false" customHeight="false" outlineLevel="0" collapsed="false">
      <c r="A22" s="6" t="s">
        <v>138</v>
      </c>
      <c r="B22" s="6" t="s">
        <v>139</v>
      </c>
      <c r="C22" s="7" t="n">
        <v>4051</v>
      </c>
      <c r="D22" s="7" t="n">
        <v>1194</v>
      </c>
      <c r="E22" s="7" t="n">
        <v>693</v>
      </c>
      <c r="F22" s="7" t="n">
        <v>470</v>
      </c>
      <c r="G22" s="9" t="n">
        <f aca="false">D22/C22</f>
        <v>0.294742039002715</v>
      </c>
      <c r="H22" s="9" t="n">
        <f aca="false">E22/C22</f>
        <v>0.171068871883486</v>
      </c>
      <c r="I22" s="14" t="n">
        <f aca="false">(G22-$C$3)*100</f>
        <v>-0.345796099728463</v>
      </c>
      <c r="J22" s="24" t="n">
        <f aca="false">C22/Funnel!$C$5</f>
        <v>0.20255</v>
      </c>
    </row>
    <row r="23" customFormat="false" ht="15" hidden="false" customHeight="false" outlineLevel="0" collapsed="false">
      <c r="A23" s="6" t="s">
        <v>138</v>
      </c>
      <c r="B23" s="6" t="s">
        <v>140</v>
      </c>
      <c r="C23" s="7" t="n">
        <v>8055</v>
      </c>
      <c r="D23" s="7" t="n">
        <v>2456</v>
      </c>
      <c r="E23" s="7" t="n">
        <v>1453</v>
      </c>
      <c r="F23" s="7" t="n">
        <v>1003</v>
      </c>
      <c r="G23" s="9" t="n">
        <f aca="false">D23/C23</f>
        <v>0.304903786468032</v>
      </c>
      <c r="H23" s="9" t="n">
        <f aca="false">E23/C23</f>
        <v>0.180384854127871</v>
      </c>
      <c r="I23" s="14" t="n">
        <f aca="false">(G23-$C$3)*100</f>
        <v>0.670378646803227</v>
      </c>
      <c r="J23" s="24" t="n">
        <f aca="false">C23/Funnel!$C$5</f>
        <v>0.40275</v>
      </c>
    </row>
    <row r="24" customFormat="false" ht="15" hidden="false" customHeight="false" outlineLevel="0" collapsed="false">
      <c r="A24" s="6" t="s">
        <v>138</v>
      </c>
      <c r="B24" s="6" t="s">
        <v>141</v>
      </c>
      <c r="C24" s="7" t="n">
        <v>6256</v>
      </c>
      <c r="D24" s="7" t="n">
        <v>1852</v>
      </c>
      <c r="E24" s="7" t="n">
        <v>1051</v>
      </c>
      <c r="F24" s="7" t="n">
        <v>769</v>
      </c>
      <c r="G24" s="9" t="n">
        <f aca="false">D24/C24</f>
        <v>0.296035805626599</v>
      </c>
      <c r="H24" s="9" t="n">
        <f aca="false">E24/C24</f>
        <v>0.167998721227622</v>
      </c>
      <c r="I24" s="14" t="n">
        <f aca="false">(G24-$C$3)*100</f>
        <v>-0.216419437340154</v>
      </c>
      <c r="J24" s="24" t="n">
        <f aca="false">C24/Funnel!$C$5</f>
        <v>0.3128</v>
      </c>
    </row>
    <row r="25" customFormat="false" ht="15" hidden="false" customHeight="false" outlineLevel="0" collapsed="false">
      <c r="A25" s="6" t="s">
        <v>138</v>
      </c>
      <c r="B25" s="6" t="s">
        <v>142</v>
      </c>
      <c r="C25" s="7" t="n">
        <v>1522</v>
      </c>
      <c r="D25" s="7" t="n">
        <v>432</v>
      </c>
      <c r="E25" s="7" t="n">
        <v>250</v>
      </c>
      <c r="F25" s="7" t="n">
        <v>175</v>
      </c>
      <c r="G25" s="9" t="n">
        <f aca="false">D25/C25</f>
        <v>0.283837056504599</v>
      </c>
      <c r="H25" s="9" t="n">
        <f aca="false">E25/C25</f>
        <v>0.164257555847569</v>
      </c>
      <c r="I25" s="14" t="n">
        <f aca="false">(G25-$C$3)*100</f>
        <v>-1.43629434954008</v>
      </c>
      <c r="J25" s="24" t="n">
        <f aca="false">C25/Funnel!$C$5</f>
        <v>0.0761</v>
      </c>
    </row>
    <row r="26" customFormat="false" ht="15" hidden="false" customHeight="false" outlineLevel="0" collapsed="false">
      <c r="A26" s="6" t="s">
        <v>138</v>
      </c>
      <c r="B26" s="6" t="s">
        <v>143</v>
      </c>
      <c r="C26" s="7" t="n">
        <v>116</v>
      </c>
      <c r="D26" s="7" t="n">
        <v>30</v>
      </c>
      <c r="E26" s="7" t="n">
        <v>15</v>
      </c>
      <c r="F26" s="7" t="n">
        <v>11</v>
      </c>
      <c r="G26" s="9" t="n">
        <f aca="false">D26/C26</f>
        <v>0.258620689655172</v>
      </c>
      <c r="H26" s="9" t="n">
        <f aca="false">E26/C26</f>
        <v>0.129310344827586</v>
      </c>
      <c r="I26" s="14" t="n">
        <f aca="false">(G26-$C$3)*100</f>
        <v>-3.95793103448276</v>
      </c>
      <c r="J26" s="24" t="n">
        <f aca="false">C26/Funnel!$C$5</f>
        <v>0.0058</v>
      </c>
    </row>
    <row r="27" customFormat="false" ht="15" hidden="false" customHeight="false" outlineLevel="0" collapsed="false">
      <c r="A27" s="6" t="s">
        <v>144</v>
      </c>
      <c r="B27" s="6" t="s">
        <v>145</v>
      </c>
      <c r="C27" s="7" t="n">
        <v>1765</v>
      </c>
      <c r="D27" s="7" t="n">
        <v>563</v>
      </c>
      <c r="E27" s="7" t="n">
        <v>344</v>
      </c>
      <c r="F27" s="7" t="n">
        <v>240</v>
      </c>
      <c r="G27" s="9" t="n">
        <f aca="false">D27/C27</f>
        <v>0.318980169971671</v>
      </c>
      <c r="H27" s="9" t="n">
        <f aca="false">E27/C27</f>
        <v>0.194900849858357</v>
      </c>
      <c r="I27" s="14" t="n">
        <f aca="false">(G27-$C$3)*100</f>
        <v>2.07801699716714</v>
      </c>
      <c r="J27" s="24" t="n">
        <f aca="false">C27/Funnel!$C$5</f>
        <v>0.08825</v>
      </c>
    </row>
    <row r="28" customFormat="false" ht="15" hidden="false" customHeight="false" outlineLevel="0" collapsed="false">
      <c r="A28" s="6" t="s">
        <v>144</v>
      </c>
      <c r="B28" s="6" t="s">
        <v>146</v>
      </c>
      <c r="C28" s="7" t="n">
        <v>1009</v>
      </c>
      <c r="D28" s="7" t="n">
        <v>305</v>
      </c>
      <c r="E28" s="7" t="n">
        <v>178</v>
      </c>
      <c r="F28" s="7" t="n">
        <v>130</v>
      </c>
      <c r="G28" s="9" t="n">
        <f aca="false">D28/C28</f>
        <v>0.302279484638256</v>
      </c>
      <c r="H28" s="9" t="n">
        <f aca="false">E28/C28</f>
        <v>0.176412289395441</v>
      </c>
      <c r="I28" s="14" t="n">
        <f aca="false">(G28-$C$3)*100</f>
        <v>0.407948463825569</v>
      </c>
      <c r="J28" s="24" t="n">
        <f aca="false">C28/Funnel!$C$5</f>
        <v>0.05045</v>
      </c>
    </row>
    <row r="29" customFormat="false" ht="15" hidden="false" customHeight="false" outlineLevel="0" collapsed="false">
      <c r="A29" s="6" t="s">
        <v>144</v>
      </c>
      <c r="B29" s="6" t="s">
        <v>147</v>
      </c>
      <c r="C29" s="7" t="n">
        <v>702</v>
      </c>
      <c r="D29" s="7" t="n">
        <v>225</v>
      </c>
      <c r="E29" s="7" t="n">
        <v>137</v>
      </c>
      <c r="F29" s="7" t="n">
        <v>99</v>
      </c>
      <c r="G29" s="9" t="n">
        <f aca="false">D29/C29</f>
        <v>0.320512820512821</v>
      </c>
      <c r="H29" s="9" t="n">
        <f aca="false">E29/C29</f>
        <v>0.195156695156695</v>
      </c>
      <c r="I29" s="14" t="n">
        <f aca="false">(G29-$C$3)*100</f>
        <v>2.23128205128205</v>
      </c>
      <c r="J29" s="24" t="n">
        <f aca="false">C29/Funnel!$C$5</f>
        <v>0.0351</v>
      </c>
    </row>
    <row r="30" customFormat="false" ht="15" hidden="false" customHeight="false" outlineLevel="0" collapsed="false">
      <c r="A30" s="6" t="s">
        <v>144</v>
      </c>
      <c r="B30" s="6" t="s">
        <v>148</v>
      </c>
      <c r="C30" s="7" t="n">
        <v>3669</v>
      </c>
      <c r="D30" s="7" t="n">
        <v>856</v>
      </c>
      <c r="E30" s="7" t="n">
        <v>463</v>
      </c>
      <c r="F30" s="7" t="n">
        <v>330</v>
      </c>
      <c r="G30" s="9" t="n">
        <f aca="false">D30/C30</f>
        <v>0.233306077950395</v>
      </c>
      <c r="H30" s="9" t="n">
        <f aca="false">E30/C30</f>
        <v>0.126192423003543</v>
      </c>
      <c r="I30" s="14" t="n">
        <f aca="false">(G30-$C$3)*100</f>
        <v>-6.48939220496048</v>
      </c>
      <c r="J30" s="24" t="n">
        <f aca="false">C30/Funnel!$C$5</f>
        <v>0.18345</v>
      </c>
    </row>
    <row r="31" customFormat="false" ht="15" hidden="false" customHeight="false" outlineLevel="0" collapsed="false">
      <c r="A31" s="6" t="s">
        <v>144</v>
      </c>
      <c r="B31" s="6" t="s">
        <v>149</v>
      </c>
      <c r="C31" s="7" t="n">
        <v>2992</v>
      </c>
      <c r="D31" s="7" t="n">
        <v>1000</v>
      </c>
      <c r="E31" s="7" t="n">
        <v>601</v>
      </c>
      <c r="F31" s="7" t="n">
        <v>421</v>
      </c>
      <c r="G31" s="9" t="n">
        <f aca="false">D31/C31</f>
        <v>0.334224598930481</v>
      </c>
      <c r="H31" s="9" t="n">
        <f aca="false">E31/C31</f>
        <v>0.200868983957219</v>
      </c>
      <c r="I31" s="14" t="n">
        <f aca="false">(G31-$C$3)*100</f>
        <v>3.60245989304813</v>
      </c>
      <c r="J31" s="24" t="n">
        <f aca="false">C31/Funnel!$C$5</f>
        <v>0.1496</v>
      </c>
    </row>
    <row r="32" customFormat="false" ht="15" hidden="false" customHeight="false" outlineLevel="0" collapsed="false">
      <c r="A32" s="6" t="s">
        <v>144</v>
      </c>
      <c r="B32" s="6" t="s">
        <v>150</v>
      </c>
      <c r="C32" s="7" t="n">
        <v>2342</v>
      </c>
      <c r="D32" s="7" t="n">
        <v>766</v>
      </c>
      <c r="E32" s="7" t="n">
        <v>444</v>
      </c>
      <c r="F32" s="7" t="n">
        <v>307</v>
      </c>
      <c r="G32" s="9" t="n">
        <f aca="false">D32/C32</f>
        <v>0.327070879590094</v>
      </c>
      <c r="H32" s="9" t="n">
        <f aca="false">E32/C32</f>
        <v>0.189581554227156</v>
      </c>
      <c r="I32" s="14" t="n">
        <f aca="false">(G32-$C$3)*100</f>
        <v>2.88708795900939</v>
      </c>
      <c r="J32" s="24" t="n">
        <f aca="false">C32/Funnel!$C$5</f>
        <v>0.1171</v>
      </c>
    </row>
    <row r="33" customFormat="false" ht="15" hidden="false" customHeight="false" outlineLevel="0" collapsed="false">
      <c r="A33" s="6" t="s">
        <v>144</v>
      </c>
      <c r="B33" s="6" t="s">
        <v>151</v>
      </c>
      <c r="C33" s="7" t="n">
        <v>974</v>
      </c>
      <c r="D33" s="7" t="n">
        <v>330</v>
      </c>
      <c r="E33" s="7" t="n">
        <v>194</v>
      </c>
      <c r="F33" s="7" t="n">
        <v>143</v>
      </c>
      <c r="G33" s="9" t="n">
        <f aca="false">D33/C33</f>
        <v>0.338809034907598</v>
      </c>
      <c r="H33" s="9" t="n">
        <f aca="false">E33/C33</f>
        <v>0.19917864476386</v>
      </c>
      <c r="I33" s="14" t="n">
        <f aca="false">(G33-$C$3)*100</f>
        <v>4.06090349075975</v>
      </c>
      <c r="J33" s="24" t="n">
        <f aca="false">C33/Funnel!$C$5</f>
        <v>0.0487</v>
      </c>
    </row>
    <row r="34" customFormat="false" ht="15" hidden="false" customHeight="false" outlineLevel="0" collapsed="false">
      <c r="A34" s="6" t="s">
        <v>144</v>
      </c>
      <c r="B34" s="6" t="s">
        <v>152</v>
      </c>
      <c r="C34" s="7" t="n">
        <v>1614</v>
      </c>
      <c r="D34" s="7" t="n">
        <v>411</v>
      </c>
      <c r="E34" s="7" t="n">
        <v>220</v>
      </c>
      <c r="F34" s="7" t="n">
        <v>159</v>
      </c>
      <c r="G34" s="9" t="n">
        <f aca="false">D34/C34</f>
        <v>0.254646840148699</v>
      </c>
      <c r="H34" s="9" t="n">
        <f aca="false">E34/C34</f>
        <v>0.136307311028501</v>
      </c>
      <c r="I34" s="14" t="n">
        <f aca="false">(G34-$C$3)*100</f>
        <v>-4.35531598513012</v>
      </c>
      <c r="J34" s="24" t="n">
        <f aca="false">C34/Funnel!$C$5</f>
        <v>0.0807</v>
      </c>
    </row>
    <row r="35" customFormat="false" ht="15" hidden="false" customHeight="false" outlineLevel="0" collapsed="false">
      <c r="A35" s="6" t="s">
        <v>144</v>
      </c>
      <c r="B35" s="6" t="s">
        <v>153</v>
      </c>
      <c r="C35" s="7" t="n">
        <v>4373</v>
      </c>
      <c r="D35" s="7" t="n">
        <v>1345</v>
      </c>
      <c r="E35" s="7" t="n">
        <v>788</v>
      </c>
      <c r="F35" s="7" t="n">
        <v>530</v>
      </c>
      <c r="G35" s="9" t="n">
        <f aca="false">D35/C35</f>
        <v>0.307569174479762</v>
      </c>
      <c r="H35" s="9" t="n">
        <f aca="false">E35/C35</f>
        <v>0.180196661330894</v>
      </c>
      <c r="I35" s="14" t="n">
        <f aca="false">(G35-$C$3)*100</f>
        <v>0.936917447976216</v>
      </c>
      <c r="J35" s="24" t="n">
        <f aca="false">C35/Funnel!$C$5</f>
        <v>0.21865</v>
      </c>
    </row>
    <row r="36" customFormat="false" ht="15" hidden="false" customHeight="false" outlineLevel="0" collapsed="false">
      <c r="A36" s="6" t="s">
        <v>144</v>
      </c>
      <c r="B36" s="6" t="s">
        <v>154</v>
      </c>
      <c r="C36" s="7" t="n">
        <v>560</v>
      </c>
      <c r="D36" s="7" t="n">
        <v>163</v>
      </c>
      <c r="E36" s="7" t="n">
        <v>93</v>
      </c>
      <c r="F36" s="7" t="n">
        <v>69</v>
      </c>
      <c r="G36" s="9" t="n">
        <f aca="false">D36/C36</f>
        <v>0.291071428571429</v>
      </c>
      <c r="H36" s="9" t="n">
        <f aca="false">E36/C36</f>
        <v>0.166071428571429</v>
      </c>
      <c r="I36" s="14" t="n">
        <f aca="false">(G36-$C$3)*100</f>
        <v>-0.712857142857143</v>
      </c>
      <c r="J36" s="24" t="n">
        <f aca="false">C36/Funnel!$C$5</f>
        <v>0.028</v>
      </c>
    </row>
    <row r="37" customFormat="false" ht="15" hidden="false" customHeight="false" outlineLevel="0" collapsed="false">
      <c r="A37" s="6" t="s">
        <v>155</v>
      </c>
      <c r="B37" s="6" t="s">
        <v>156</v>
      </c>
      <c r="C37" s="7" t="n">
        <v>17590</v>
      </c>
      <c r="D37" s="7" t="n">
        <v>5664</v>
      </c>
      <c r="E37" s="7" t="n">
        <v>3273</v>
      </c>
      <c r="F37" s="7" t="n">
        <v>2295</v>
      </c>
      <c r="G37" s="9" t="n">
        <f aca="false">D37/C37</f>
        <v>0.322001137009665</v>
      </c>
      <c r="H37" s="9" t="n">
        <f aca="false">E37/C37</f>
        <v>0.186071631608869</v>
      </c>
      <c r="I37" s="14" t="n">
        <f aca="false">(G37-$C$3)*100</f>
        <v>2.38011370096646</v>
      </c>
      <c r="J37" s="24" t="n">
        <f aca="false">C37/Funnel!$C$5</f>
        <v>0.8795</v>
      </c>
    </row>
    <row r="38" customFormat="false" ht="15" hidden="false" customHeight="false" outlineLevel="0" collapsed="false">
      <c r="A38" s="6" t="s">
        <v>155</v>
      </c>
      <c r="B38" s="6" t="s">
        <v>157</v>
      </c>
      <c r="C38" s="7" t="n">
        <v>2410</v>
      </c>
      <c r="D38" s="7" t="n">
        <v>300</v>
      </c>
      <c r="E38" s="7" t="n">
        <v>189</v>
      </c>
      <c r="F38" s="7" t="n">
        <v>133</v>
      </c>
      <c r="G38" s="9" t="n">
        <f aca="false">D38/C38</f>
        <v>0.12448132780083</v>
      </c>
      <c r="H38" s="9" t="n">
        <f aca="false">E38/C38</f>
        <v>0.0784232365145228</v>
      </c>
      <c r="I38" s="14" t="n">
        <f aca="false">(G38-$C$3)*100</f>
        <v>-17.371867219917</v>
      </c>
      <c r="J38" s="24" t="n">
        <f aca="false">C38/Funnel!$C$5</f>
        <v>0.1205</v>
      </c>
    </row>
    <row r="39" customFormat="false" ht="15" hidden="false" customHeight="false" outlineLevel="0" collapsed="false">
      <c r="A39" s="6" t="s">
        <v>158</v>
      </c>
      <c r="B39" s="6" t="s">
        <v>159</v>
      </c>
      <c r="C39" s="7" t="n">
        <v>13945</v>
      </c>
      <c r="D39" s="7" t="n">
        <v>4379</v>
      </c>
      <c r="E39" s="7" t="n">
        <v>2481</v>
      </c>
      <c r="F39" s="7" t="n">
        <v>1726</v>
      </c>
      <c r="G39" s="9" t="n">
        <f aca="false">D39/C39</f>
        <v>0.314019361778415</v>
      </c>
      <c r="H39" s="9" t="n">
        <f aca="false">E39/C39</f>
        <v>0.177913230548584</v>
      </c>
      <c r="I39" s="14" t="n">
        <f aca="false">(G39-$C$3)*100</f>
        <v>1.58193617784152</v>
      </c>
      <c r="J39" s="24" t="n">
        <f aca="false">C39/Funnel!$C$5</f>
        <v>0.69725</v>
      </c>
    </row>
    <row r="40" customFormat="false" ht="15" hidden="false" customHeight="false" outlineLevel="0" collapsed="false">
      <c r="A40" s="6" t="s">
        <v>158</v>
      </c>
      <c r="B40" s="6" t="s">
        <v>77</v>
      </c>
      <c r="C40" s="7" t="n">
        <v>6055</v>
      </c>
      <c r="D40" s="7" t="n">
        <v>1585</v>
      </c>
      <c r="E40" s="7" t="n">
        <v>981</v>
      </c>
      <c r="F40" s="7" t="n">
        <v>702</v>
      </c>
      <c r="G40" s="9" t="n">
        <f aca="false">D40/C40</f>
        <v>0.261767134599505</v>
      </c>
      <c r="H40" s="9" t="n">
        <f aca="false">E40/C40</f>
        <v>0.162014863748968</v>
      </c>
      <c r="I40" s="14" t="n">
        <f aca="false">(G40-$C$3)*100</f>
        <v>-3.64328654004955</v>
      </c>
      <c r="J40" s="24" t="n">
        <f aca="false">C40/Funnel!$C$5</f>
        <v>0.30275</v>
      </c>
    </row>
    <row r="41" customFormat="false" ht="15" hidden="false" customHeight="false" outlineLevel="0" collapsed="false">
      <c r="A41" s="6" t="s">
        <v>160</v>
      </c>
      <c r="B41" s="6" t="s">
        <v>161</v>
      </c>
      <c r="C41" s="7" t="n">
        <v>6188</v>
      </c>
      <c r="D41" s="7" t="n">
        <v>1839</v>
      </c>
      <c r="E41" s="7" t="n">
        <v>1053</v>
      </c>
      <c r="F41" s="7" t="n">
        <v>726</v>
      </c>
      <c r="G41" s="9" t="n">
        <f aca="false">D41/C41</f>
        <v>0.297188106011635</v>
      </c>
      <c r="H41" s="9" t="n">
        <f aca="false">E41/C41</f>
        <v>0.170168067226891</v>
      </c>
      <c r="I41" s="14" t="n">
        <f aca="false">(G41-$C$3)*100</f>
        <v>-0.10118939883646</v>
      </c>
      <c r="J41" s="24" t="n">
        <f aca="false">C41/Funnel!$C$5</f>
        <v>0.3094</v>
      </c>
    </row>
    <row r="42" customFormat="false" ht="15" hidden="false" customHeight="false" outlineLevel="0" collapsed="false">
      <c r="A42" s="6" t="s">
        <v>160</v>
      </c>
      <c r="B42" s="6" t="s">
        <v>162</v>
      </c>
      <c r="C42" s="7" t="n">
        <v>6392</v>
      </c>
      <c r="D42" s="7" t="n">
        <v>1933</v>
      </c>
      <c r="E42" s="7" t="n">
        <v>1098</v>
      </c>
      <c r="F42" s="7" t="n">
        <v>769</v>
      </c>
      <c r="G42" s="9" t="n">
        <f aca="false">D42/C42</f>
        <v>0.302409261576971</v>
      </c>
      <c r="H42" s="9" t="n">
        <f aca="false">E42/C42</f>
        <v>0.171777221526909</v>
      </c>
      <c r="I42" s="14" t="n">
        <f aca="false">(G42-$C$3)*100</f>
        <v>0.420926157697121</v>
      </c>
      <c r="J42" s="24" t="n">
        <f aca="false">C42/Funnel!$C$5</f>
        <v>0.3196</v>
      </c>
    </row>
    <row r="43" customFormat="false" ht="15" hidden="false" customHeight="false" outlineLevel="0" collapsed="false">
      <c r="A43" s="6" t="s">
        <v>160</v>
      </c>
      <c r="B43" s="6" t="s">
        <v>163</v>
      </c>
      <c r="C43" s="7" t="n">
        <v>2093</v>
      </c>
      <c r="D43" s="7" t="n">
        <v>544</v>
      </c>
      <c r="E43" s="7" t="n">
        <v>312</v>
      </c>
      <c r="F43" s="7" t="n">
        <v>222</v>
      </c>
      <c r="G43" s="9" t="n">
        <f aca="false">D43/C43</f>
        <v>0.259913999044434</v>
      </c>
      <c r="H43" s="9" t="n">
        <f aca="false">E43/C43</f>
        <v>0.149068322981366</v>
      </c>
      <c r="I43" s="14" t="n">
        <f aca="false">(G43-$C$3)*100</f>
        <v>-3.82860009555662</v>
      </c>
      <c r="J43" s="24" t="n">
        <f aca="false">C43/Funnel!$C$5</f>
        <v>0.10465</v>
      </c>
    </row>
    <row r="44" customFormat="false" ht="15" hidden="false" customHeight="false" outlineLevel="0" collapsed="false">
      <c r="A44" s="6" t="s">
        <v>160</v>
      </c>
      <c r="B44" s="6" t="s">
        <v>164</v>
      </c>
      <c r="C44" s="7" t="n">
        <v>5327</v>
      </c>
      <c r="D44" s="7" t="n">
        <v>1648</v>
      </c>
      <c r="E44" s="7" t="n">
        <v>999</v>
      </c>
      <c r="F44" s="7" t="n">
        <v>711</v>
      </c>
      <c r="G44" s="9" t="n">
        <f aca="false">D44/C44</f>
        <v>0.309367373756336</v>
      </c>
      <c r="H44" s="9" t="n">
        <f aca="false">E44/C44</f>
        <v>0.187535198047682</v>
      </c>
      <c r="I44" s="14" t="n">
        <f aca="false">(G44-$C$3)*100</f>
        <v>1.11673737563356</v>
      </c>
      <c r="J44" s="24" t="n">
        <f aca="false">C44/Funnel!$C$5</f>
        <v>0.26635</v>
      </c>
    </row>
    <row r="45" customFormat="false" ht="15" hidden="false" customHeight="false" outlineLevel="0" collapsed="false">
      <c r="A45" s="6" t="s">
        <v>165</v>
      </c>
      <c r="B45" s="6" t="s">
        <v>166</v>
      </c>
      <c r="C45" s="7" t="n">
        <v>1934</v>
      </c>
      <c r="D45" s="7" t="n">
        <v>554</v>
      </c>
      <c r="E45" s="7" t="n">
        <v>334</v>
      </c>
      <c r="F45" s="7" t="n">
        <v>236</v>
      </c>
      <c r="G45" s="9" t="n">
        <f aca="false">D45/C45</f>
        <v>0.286452947259566</v>
      </c>
      <c r="H45" s="9" t="n">
        <f aca="false">E45/C45</f>
        <v>0.172699069286453</v>
      </c>
      <c r="I45" s="14" t="n">
        <f aca="false">(G45-$C$3)*100</f>
        <v>-1.17470527404344</v>
      </c>
      <c r="J45" s="24" t="n">
        <f aca="false">C45/Funnel!$C$5</f>
        <v>0.0967</v>
      </c>
    </row>
    <row r="46" customFormat="false" ht="15" hidden="false" customHeight="false" outlineLevel="0" collapsed="false">
      <c r="A46" s="6" t="s">
        <v>165</v>
      </c>
      <c r="B46" s="6" t="s">
        <v>167</v>
      </c>
      <c r="C46" s="7" t="n">
        <v>18066</v>
      </c>
      <c r="D46" s="7" t="n">
        <v>5410</v>
      </c>
      <c r="E46" s="7" t="n">
        <v>3128</v>
      </c>
      <c r="F46" s="7" t="n">
        <v>2192</v>
      </c>
      <c r="G46" s="9" t="n">
        <f aca="false">D46/C46</f>
        <v>0.29945754455884</v>
      </c>
      <c r="H46" s="9" t="n">
        <f aca="false">E46/C46</f>
        <v>0.173142920402967</v>
      </c>
      <c r="I46" s="14" t="n">
        <f aca="false">(G46-$C$3)*100</f>
        <v>0.125754455883981</v>
      </c>
      <c r="J46" s="24" t="n">
        <f aca="false">C46/Funnel!$C$5</f>
        <v>0.9033</v>
      </c>
    </row>
  </sheetData>
  <conditionalFormatting sqref="I6:I46">
    <cfRule type="colorScale" priority="2">
      <colorScale>
        <cfvo type="num" val="-20"/>
        <cfvo type="num" val="0"/>
        <cfvo type="num" val="2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2026-10-23T09:36:51Z</dcterms:created>
  <dc:creator>openpyxl</dc:creator>
  <dc:description/>
  <dc:language>en-US</dc:language>
  <cp:lastModifiedBy/>
  <dcterms:modified xsi:type="dcterms:W3CDTF">2026-10-23T09:36:54Z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